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-ML &amp; DATA SCIENCE\EXCEL\FUNDALMENTAL BOOSTER\"/>
    </mc:Choice>
  </mc:AlternateContent>
  <xr:revisionPtr revIDLastSave="0" documentId="13_ncr:1_{EA512F29-AD93-4039-B0E1-112716AC093C}" xr6:coauthVersionLast="47" xr6:coauthVersionMax="47" xr10:uidLastSave="{00000000-0000-0000-0000-000000000000}"/>
  <bookViews>
    <workbookView xWindow="-108" yWindow="-108" windowWidth="23256" windowHeight="13896" xr2:uid="{87BA8874-7B11-434E-9E99-504EEDF6CE6E}"/>
  </bookViews>
  <sheets>
    <sheet name="STUDENT DATA" sheetId="1" r:id="rId1"/>
    <sheet name="SALES DATA" sheetId="2" r:id="rId2"/>
    <sheet name="EMPLPLOYEE 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3" l="1"/>
  <c r="E40" i="3"/>
  <c r="D40" i="3"/>
  <c r="B29" i="3" a="1"/>
  <c r="B41" i="1" a="1"/>
  <c r="I23" i="3"/>
  <c r="E23" i="3"/>
  <c r="B23" i="3"/>
  <c r="G3" i="3"/>
  <c r="G4" i="3"/>
  <c r="G5" i="3"/>
  <c r="G6" i="3"/>
  <c r="G7" i="3"/>
  <c r="G8" i="3"/>
  <c r="G9" i="3"/>
  <c r="G10" i="3"/>
  <c r="G11" i="3"/>
  <c r="G2" i="3"/>
  <c r="B17" i="3"/>
  <c r="I3" i="3"/>
  <c r="I4" i="3"/>
  <c r="I5" i="3"/>
  <c r="I6" i="3"/>
  <c r="I7" i="3"/>
  <c r="I8" i="3"/>
  <c r="I9" i="3"/>
  <c r="I10" i="3"/>
  <c r="I11" i="3"/>
  <c r="I2" i="3"/>
  <c r="H2" i="3"/>
  <c r="H3" i="3"/>
  <c r="H4" i="3"/>
  <c r="H5" i="3"/>
  <c r="H6" i="3"/>
  <c r="H7" i="3"/>
  <c r="H8" i="3"/>
  <c r="H9" i="3"/>
  <c r="H10" i="3"/>
  <c r="H11" i="3"/>
  <c r="B40" i="2"/>
  <c r="B33" i="2"/>
  <c r="H27" i="2"/>
  <c r="G27" i="2"/>
  <c r="F27" i="2"/>
  <c r="E27" i="2"/>
  <c r="D27" i="2"/>
  <c r="C27" i="2"/>
  <c r="B27" i="2"/>
  <c r="D19" i="2"/>
  <c r="O3" i="2"/>
  <c r="O4" i="2"/>
  <c r="O5" i="2"/>
  <c r="O6" i="2"/>
  <c r="O7" i="2"/>
  <c r="O8" i="2"/>
  <c r="O9" i="2"/>
  <c r="O10" i="2"/>
  <c r="O11" i="2"/>
  <c r="O2" i="2"/>
  <c r="N3" i="2"/>
  <c r="N4" i="2"/>
  <c r="N5" i="2"/>
  <c r="N6" i="2"/>
  <c r="N7" i="2"/>
  <c r="N8" i="2"/>
  <c r="N9" i="2"/>
  <c r="N10" i="2"/>
  <c r="N11" i="2"/>
  <c r="N2" i="2"/>
  <c r="L3" i="2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J2" i="2"/>
  <c r="J3" i="2"/>
  <c r="J4" i="2"/>
  <c r="J5" i="2"/>
  <c r="J6" i="2"/>
  <c r="J7" i="2"/>
  <c r="J8" i="2"/>
  <c r="J9" i="2"/>
  <c r="J10" i="2"/>
  <c r="J11" i="2"/>
  <c r="G28" i="1"/>
  <c r="G29" i="1"/>
  <c r="G30" i="1"/>
  <c r="G31" i="1"/>
  <c r="G32" i="1"/>
  <c r="G33" i="1"/>
  <c r="G34" i="1"/>
  <c r="G35" i="1"/>
  <c r="G36" i="1"/>
  <c r="G27" i="1"/>
  <c r="B35" i="1"/>
  <c r="B36" i="1"/>
  <c r="B28" i="1"/>
  <c r="B29" i="1"/>
  <c r="B30" i="1"/>
  <c r="B31" i="1"/>
  <c r="B32" i="1"/>
  <c r="B33" i="1"/>
  <c r="B34" i="1"/>
  <c r="B27" i="1"/>
  <c r="C17" i="1"/>
  <c r="B17" i="1"/>
  <c r="K3" i="1"/>
  <c r="L3" i="1" s="1"/>
  <c r="C2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2" i="1"/>
  <c r="L2" i="1" s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  <c r="F3" i="1"/>
  <c r="D23" i="1" s="1"/>
  <c r="F4" i="1"/>
  <c r="F5" i="1"/>
  <c r="F6" i="1"/>
  <c r="F7" i="1"/>
  <c r="F8" i="1"/>
  <c r="F9" i="1"/>
  <c r="F10" i="1"/>
  <c r="F11" i="1"/>
  <c r="F2" i="1"/>
  <c r="E3" i="1"/>
  <c r="B23" i="1" s="1"/>
  <c r="E4" i="1"/>
  <c r="E5" i="1"/>
  <c r="E6" i="1"/>
  <c r="E7" i="1"/>
  <c r="E8" i="1"/>
  <c r="E9" i="1"/>
  <c r="E10" i="1"/>
  <c r="E11" i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<sst xmlns="http://schemas.openxmlformats.org/spreadsheetml/2006/main" count="205" uniqueCount="151">
  <si>
    <t>MATHS</t>
  </si>
  <si>
    <t>Student ID</t>
  </si>
  <si>
    <t>Name</t>
  </si>
  <si>
    <t>Krina Ghori</t>
  </si>
  <si>
    <t>Prey Ghori</t>
  </si>
  <si>
    <t>Dharmi Gorasiya</t>
  </si>
  <si>
    <t>Khusi Kuvadiya</t>
  </si>
  <si>
    <t>Ruchi Dadhaniya</t>
  </si>
  <si>
    <t>Jiya Patel</t>
  </si>
  <si>
    <t>Daxa Ghori</t>
  </si>
  <si>
    <t>Nayra Ghori</t>
  </si>
  <si>
    <t>Rudransh Patel</t>
  </si>
  <si>
    <t>Jisha Ghori</t>
  </si>
  <si>
    <t xml:space="preserve">Science </t>
  </si>
  <si>
    <t>Maths</t>
  </si>
  <si>
    <t>Grade</t>
  </si>
  <si>
    <t>Result</t>
  </si>
  <si>
    <t>First Name</t>
  </si>
  <si>
    <t xml:space="preserve">Name_Upper </t>
  </si>
  <si>
    <t>Name_Lower</t>
  </si>
  <si>
    <t>Top_Performer</t>
  </si>
  <si>
    <t>Total Marks</t>
  </si>
  <si>
    <t>Percentage</t>
  </si>
  <si>
    <t>AVERAGE SCORE</t>
  </si>
  <si>
    <t>SCIENCE</t>
  </si>
  <si>
    <t>SUBJECT</t>
  </si>
  <si>
    <t>FINDING DATA</t>
  </si>
  <si>
    <t>GRADE</t>
  </si>
  <si>
    <t>PERCENTAGE</t>
  </si>
  <si>
    <t>RESULT</t>
  </si>
  <si>
    <t># FETCH STUDENT DATA USING VLOOKUP</t>
  </si>
  <si>
    <t># AVERAGE MARKS OF ALL STUDENT USING AVERAGE()</t>
  </si>
  <si>
    <t>Joining Date</t>
  </si>
  <si>
    <t># DATE &amp; TIME FUNCTION</t>
  </si>
  <si>
    <t>DATE DIFFERENCE</t>
  </si>
  <si>
    <t>DAYS</t>
  </si>
  <si>
    <t>FILTER</t>
  </si>
  <si>
    <t># FILTER STUDENT DATA WHO SCORED ABOVE 80 IN SCIENCE</t>
  </si>
  <si>
    <t>DATE FORMATING</t>
  </si>
  <si>
    <t>SaleID</t>
  </si>
  <si>
    <t>Rahul</t>
  </si>
  <si>
    <t>Priya</t>
  </si>
  <si>
    <t>Amit</t>
  </si>
  <si>
    <t>Neha</t>
  </si>
  <si>
    <t>Regoin</t>
  </si>
  <si>
    <t>North</t>
  </si>
  <si>
    <t>South</t>
  </si>
  <si>
    <t>East</t>
  </si>
  <si>
    <t>West</t>
  </si>
  <si>
    <t>Product</t>
  </si>
  <si>
    <t>Laptop</t>
  </si>
  <si>
    <t>Mouse</t>
  </si>
  <si>
    <t>keyboard</t>
  </si>
  <si>
    <t>Monitor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</si>
  <si>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</si>
  <si>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</si>
  <si>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</si>
  <si>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</si>
  <si>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</si>
  <si>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</si>
  <si>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</si>
  <si>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</si>
  <si>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</si>
  <si>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</si>
  <si>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Month</t>
  </si>
  <si>
    <t>January</t>
  </si>
  <si>
    <t>February</t>
  </si>
  <si>
    <t>March</t>
  </si>
  <si>
    <t>April</t>
  </si>
  <si>
    <t>May</t>
  </si>
  <si>
    <t>Price</t>
  </si>
  <si>
    <t>UnitSold</t>
  </si>
  <si>
    <t>SalesAmount</t>
  </si>
  <si>
    <t>Discount</t>
  </si>
  <si>
    <t>Discount_Apply</t>
  </si>
  <si>
    <t>MONTH_SHORT</t>
  </si>
  <si>
    <t>First_Name</t>
  </si>
  <si>
    <t>Last_Name</t>
  </si>
  <si>
    <t>Mehta</t>
  </si>
  <si>
    <t>Patel</t>
  </si>
  <si>
    <t>Iyer</t>
  </si>
  <si>
    <t>Full_Name</t>
  </si>
  <si>
    <t>Name_Region</t>
  </si>
  <si>
    <t># TOTAL SALES FOR A SPECIFIC REGION AND SPECIFIC PRODUCT</t>
  </si>
  <si>
    <t>REGION</t>
  </si>
  <si>
    <t>PRODUCT</t>
  </si>
  <si>
    <t>REGION :-</t>
  </si>
  <si>
    <t>PRODUCT :-</t>
  </si>
  <si>
    <t>TOTAL SALES :-</t>
  </si>
  <si>
    <t>ProductID</t>
  </si>
  <si>
    <t># RETRIVE PRODUCT DATA BASED ON PRODUCTID USING LOOKUP ()</t>
  </si>
  <si>
    <t>PRODUCTID:</t>
  </si>
  <si>
    <t>SALEID</t>
  </si>
  <si>
    <t>NAME</t>
  </si>
  <si>
    <t>PRICE</t>
  </si>
  <si>
    <t>UNITSOLD</t>
  </si>
  <si>
    <t>SALESAMOUNT</t>
  </si>
  <si>
    <t># FIND VALUE IN THE TABLE USING XMATCH</t>
  </si>
  <si>
    <t>POSITION:</t>
  </si>
  <si>
    <t># CALCULATE TOTAL SALES BY USING INDIRECT</t>
  </si>
  <si>
    <t>RANGE :</t>
  </si>
  <si>
    <t>TOTAL SALES</t>
  </si>
  <si>
    <t>I2:I11</t>
  </si>
  <si>
    <t>Rahul Mehta</t>
  </si>
  <si>
    <t>E102</t>
  </si>
  <si>
    <t>Priya Patel</t>
  </si>
  <si>
    <t>E103</t>
  </si>
  <si>
    <t>Amit Shah</t>
  </si>
  <si>
    <t>E104</t>
  </si>
  <si>
    <t>Neha Iyer</t>
  </si>
  <si>
    <t>E105</t>
  </si>
  <si>
    <t>Riya Desai</t>
  </si>
  <si>
    <t>E106</t>
  </si>
  <si>
    <t>Suresh Kumar</t>
  </si>
  <si>
    <t>E107</t>
  </si>
  <si>
    <t>Ananya Joshi</t>
  </si>
  <si>
    <t>E108</t>
  </si>
  <si>
    <t>Karan Trivedi</t>
  </si>
  <si>
    <t>E109</t>
  </si>
  <si>
    <t>Pooja Shah</t>
  </si>
  <si>
    <t>E110</t>
  </si>
  <si>
    <t>Arjun Mehta</t>
  </si>
  <si>
    <t>Employee ID</t>
  </si>
  <si>
    <t>Full Name</t>
  </si>
  <si>
    <t>E101</t>
  </si>
  <si>
    <t>Department</t>
  </si>
  <si>
    <t>DOB</t>
  </si>
  <si>
    <t>DateOfJoining</t>
  </si>
  <si>
    <t>Salary</t>
  </si>
  <si>
    <t>Age</t>
  </si>
  <si>
    <t>IT</t>
  </si>
  <si>
    <t>HR</t>
  </si>
  <si>
    <t>Finance</t>
  </si>
  <si>
    <t>Marketing</t>
  </si>
  <si>
    <t>Sales</t>
  </si>
  <si>
    <t>Days of Service</t>
  </si>
  <si>
    <t>Months of Service</t>
  </si>
  <si>
    <t xml:space="preserve">  #   Salary Category</t>
  </si>
  <si>
    <t>SALARY :</t>
  </si>
  <si>
    <t xml:space="preserve">TYPE : </t>
  </si>
  <si>
    <t>DEPARTMENT :</t>
  </si>
  <si>
    <t># AVERAGE SALARY BY DEPARTMENT</t>
  </si>
  <si>
    <t>MARKETING</t>
  </si>
  <si>
    <t># TOTAL SALARY BY DEPARTMENT</t>
  </si>
  <si>
    <t>EMPLOYEES</t>
  </si>
  <si>
    <t xml:space="preserve">  #   RETRIVE EMPLOYEE DATA USING INDEX + MATCH</t>
  </si>
  <si>
    <t xml:space="preserve">  #   DEPARTMENT COUNT</t>
  </si>
  <si>
    <t xml:space="preserve">  #   FILTER EMPLOYEE DATA WHOSE SALARY IS ABOVE 50000</t>
  </si>
  <si>
    <t>ENTER EMPLOYEE ID :</t>
  </si>
  <si>
    <t>DEPARTMENT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</si>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</sst>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7" xfId="0" applyBorder="1"/>
    <xf numFmtId="0" fontId="0" fillId="0" borderId="9" xfId="0" applyBorder="1"/>
    <xf numFmtId="0" fontId="1" fillId="0" borderId="4" xfId="0" applyFont="1" applyBorder="1"/>
    <xf numFmtId="0" fontId="1" fillId="3" borderId="1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4" xfId="0" applyFont="1" applyBorder="1"/>
    <xf numFmtId="0" fontId="0" fillId="0" borderId="13" xfId="0" applyBorder="1"/>
    <xf numFmtId="0" fontId="1" fillId="0" borderId="1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0" xfId="0" applyFill="1"/>
    <xf numFmtId="14" fontId="0" fillId="2" borderId="14" xfId="0" applyNumberFormat="1" applyFill="1" applyBorder="1"/>
    <xf numFmtId="14" fontId="0" fillId="2" borderId="12" xfId="0" applyNumberFormat="1" applyFill="1" applyBorder="1"/>
    <xf numFmtId="14" fontId="0" fillId="2" borderId="13" xfId="0" applyNumberFormat="1" applyFill="1" applyBorder="1"/>
    <xf numFmtId="0" fontId="0" fillId="0" borderId="5" xfId="0" applyBorder="1"/>
    <xf numFmtId="0" fontId="0" fillId="0" borderId="6" xfId="0" applyBorder="1"/>
    <xf numFmtId="0" fontId="1" fillId="0" borderId="10" xfId="0" applyFont="1" applyBorder="1"/>
    <xf numFmtId="0" fontId="4" fillId="0" borderId="10" xfId="0" applyFont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1" xfId="0" applyFont="1" applyBorder="1"/>
    <xf numFmtId="0" fontId="0" fillId="2" borderId="1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5" borderId="0" xfId="0" applyFill="1"/>
    <xf numFmtId="0" fontId="0" fillId="0" borderId="1" xfId="0" applyBorder="1"/>
    <xf numFmtId="0" fontId="0" fillId="0" borderId="10" xfId="0" applyBorder="1" applyAlignment="1">
      <alignment horizontal="center"/>
    </xf>
    <xf numFmtId="0" fontId="0" fillId="0" borderId="15" xfId="0" applyBorder="1"/>
    <xf numFmtId="0" fontId="0" fillId="2" borderId="0" xfId="0" applyFill="1"/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1" fillId="6" borderId="1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14" fontId="0" fillId="2" borderId="8" xfId="0" applyNumberForma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14" fontId="0" fillId="2" borderId="12" xfId="0" applyNumberFormat="1" applyFill="1" applyBorder="1" applyAlignment="1">
      <alignment horizontal="center" vertical="center" wrapText="1"/>
    </xf>
    <xf numFmtId="14" fontId="0" fillId="2" borderId="13" xfId="0" applyNumberForma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left"/>
    </xf>
    <xf numFmtId="0" fontId="0" fillId="6" borderId="0" xfId="0" applyFill="1"/>
    <xf numFmtId="0" fontId="0" fillId="2" borderId="14" xfId="0" applyFill="1" applyBorder="1" applyAlignment="1">
      <alignment horizontal="center" vertical="center" wrapText="1"/>
    </xf>
    <xf numFmtId="0" fontId="0" fillId="6" borderId="5" xfId="0" applyFill="1" applyBorder="1"/>
    <xf numFmtId="0" fontId="3" fillId="2" borderId="9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D601C-3B0A-4A8D-9A3D-5A75E9F1FB4C}">
  <dimension ref="A1:N43"/>
  <sheetViews>
    <sheetView tabSelected="1" zoomScale="56" workbookViewId="0">
      <selection activeCell="H22" sqref="H22"/>
    </sheetView>
  </sheetViews>
  <sheetFormatPr defaultRowHeight="14.4" x14ac:dyDescent="0.3"/>
  <cols>
    <col min="1" max="1" width="15.5546875" customWidth="1"/>
    <col min="2" max="2" width="18.6640625" customWidth="1"/>
    <col min="3" max="4" width="13.33203125" customWidth="1"/>
    <col min="5" max="5" width="13" customWidth="1"/>
    <col min="6" max="6" width="11" customWidth="1"/>
    <col min="7" max="7" width="15.44140625" customWidth="1"/>
    <col min="8" max="8" width="24.5546875" customWidth="1"/>
    <col min="9" max="9" width="18.77734375" customWidth="1"/>
    <col min="10" max="10" width="17.5546875" customWidth="1"/>
    <col min="11" max="11" width="15.33203125" customWidth="1"/>
    <col min="12" max="12" width="15.21875" customWidth="1"/>
    <col min="13" max="13" width="18.109375" customWidth="1"/>
  </cols>
  <sheetData>
    <row r="1" spans="1:13" ht="31.2" customHeight="1" thickBot="1" x14ac:dyDescent="0.35">
      <c r="A1" s="80" t="s">
        <v>1</v>
      </c>
      <c r="B1" s="80" t="s">
        <v>2</v>
      </c>
      <c r="C1" s="80" t="s">
        <v>13</v>
      </c>
      <c r="D1" s="81" t="s">
        <v>14</v>
      </c>
      <c r="E1" s="80" t="s">
        <v>15</v>
      </c>
      <c r="F1" s="80" t="s">
        <v>16</v>
      </c>
      <c r="G1" s="81" t="s">
        <v>17</v>
      </c>
      <c r="H1" s="80" t="s">
        <v>18</v>
      </c>
      <c r="I1" s="81" t="s">
        <v>19</v>
      </c>
      <c r="J1" s="80" t="s">
        <v>20</v>
      </c>
      <c r="K1" s="81" t="s">
        <v>21</v>
      </c>
      <c r="L1" s="80" t="s">
        <v>22</v>
      </c>
      <c r="M1" s="82" t="s">
        <v>32</v>
      </c>
    </row>
    <row r="2" spans="1:13" x14ac:dyDescent="0.3">
      <c r="A2" s="5">
        <v>101</v>
      </c>
      <c r="B2" s="5" t="s">
        <v>3</v>
      </c>
      <c r="C2" s="5">
        <v>89</v>
      </c>
      <c r="D2" s="6">
        <v>95</v>
      </c>
      <c r="E2" s="5" t="str">
        <f>IF(AND(C2&gt;=80,D2&gt;=80),"A",IF(AND(C2&gt;=60,D2&gt;=60),"B",IF(AND(C2&gt;=40,D2&gt;=40),"C","Fail")))</f>
        <v>A</v>
      </c>
      <c r="F2" s="5" t="str">
        <f>IF(AND(C2&gt;40,D2&gt;40),"PASS","FAIL")</f>
        <v>PASS</v>
      </c>
      <c r="G2" s="6" t="str">
        <f>LEFT(B2,FIND(" ",B2)-1)</f>
        <v>Krina</v>
      </c>
      <c r="H2" s="5" t="str">
        <f>UPPER(B2)</f>
        <v>KRINA GHORI</v>
      </c>
      <c r="I2" s="6" t="str">
        <f>LOWER(B2)</f>
        <v>krina ghori</v>
      </c>
      <c r="J2" s="5" t="str">
        <f>IF(AND(C2&gt;80,D2&gt;80),B2,"  ")</f>
        <v>Krina Ghori</v>
      </c>
      <c r="K2" s="6">
        <f>C2+D2</f>
        <v>184</v>
      </c>
      <c r="L2" s="5">
        <f>(K2/200)*100</f>
        <v>92</v>
      </c>
      <c r="M2" s="23">
        <v>46092</v>
      </c>
    </row>
    <row r="3" spans="1:13" x14ac:dyDescent="0.3">
      <c r="A3" s="5">
        <v>102</v>
      </c>
      <c r="B3" s="5" t="s">
        <v>4</v>
      </c>
      <c r="C3" s="5">
        <v>65</v>
      </c>
      <c r="D3" s="6">
        <v>74</v>
      </c>
      <c r="E3" s="5" t="str">
        <f t="shared" ref="E3:E11" si="0">IF(AND(C3&gt;=80,D3&gt;=80),"A",IF(AND(C3&gt;=60,D3&gt;=60),"B",IF(AND(C3&gt;=40,D3&gt;=40),"C","Fail")))</f>
        <v>B</v>
      </c>
      <c r="F3" s="5" t="str">
        <f t="shared" ref="F3:F11" si="1">IF(AND(C3&gt;40,D3&gt;40),"PASS","FAIL")</f>
        <v>PASS</v>
      </c>
      <c r="G3" s="6" t="str">
        <f t="shared" ref="G3:G11" si="2">LEFT(B3,FIND(" ",B3)-1)</f>
        <v>Prey</v>
      </c>
      <c r="H3" s="5" t="str">
        <f t="shared" ref="H3:H11" si="3">UPPER(B3)</f>
        <v>PREY GHORI</v>
      </c>
      <c r="I3" s="6" t="str">
        <f t="shared" ref="I3:I11" si="4">LOWER(B3)</f>
        <v>prey ghori</v>
      </c>
      <c r="J3" s="5" t="str">
        <f t="shared" ref="J3:J11" si="5">IF(AND(C3&gt;80,D3&gt;80),B3,"  ")</f>
        <v xml:space="preserve">  </v>
      </c>
      <c r="K3" s="6">
        <f t="shared" ref="K3:K11" si="6">C3+D3</f>
        <v>139</v>
      </c>
      <c r="L3" s="5">
        <f t="shared" ref="L3:L11" si="7">(K3/200)*100</f>
        <v>69.5</v>
      </c>
      <c r="M3" s="24">
        <v>46114</v>
      </c>
    </row>
    <row r="4" spans="1:13" x14ac:dyDescent="0.3">
      <c r="A4" s="5">
        <v>103</v>
      </c>
      <c r="B4" s="5" t="s">
        <v>5</v>
      </c>
      <c r="C4" s="5">
        <v>78</v>
      </c>
      <c r="D4" s="6">
        <v>68</v>
      </c>
      <c r="E4" s="5" t="str">
        <f t="shared" si="0"/>
        <v>B</v>
      </c>
      <c r="F4" s="5" t="str">
        <f t="shared" si="1"/>
        <v>PASS</v>
      </c>
      <c r="G4" s="6" t="str">
        <f t="shared" si="2"/>
        <v>Dharmi</v>
      </c>
      <c r="H4" s="5" t="str">
        <f t="shared" si="3"/>
        <v>DHARMI GORASIYA</v>
      </c>
      <c r="I4" s="6" t="str">
        <f t="shared" si="4"/>
        <v>dharmi gorasiya</v>
      </c>
      <c r="J4" s="5" t="str">
        <f t="shared" si="5"/>
        <v xml:space="preserve">  </v>
      </c>
      <c r="K4" s="6">
        <f t="shared" si="6"/>
        <v>146</v>
      </c>
      <c r="L4" s="5">
        <f t="shared" si="7"/>
        <v>73</v>
      </c>
      <c r="M4" s="24">
        <v>46148</v>
      </c>
    </row>
    <row r="5" spans="1:13" x14ac:dyDescent="0.3">
      <c r="A5" s="5">
        <v>104</v>
      </c>
      <c r="B5" s="5" t="s">
        <v>6</v>
      </c>
      <c r="C5" s="5">
        <v>90</v>
      </c>
      <c r="D5" s="6">
        <v>65</v>
      </c>
      <c r="E5" s="5" t="str">
        <f t="shared" si="0"/>
        <v>B</v>
      </c>
      <c r="F5" s="5" t="str">
        <f t="shared" si="1"/>
        <v>PASS</v>
      </c>
      <c r="G5" s="6" t="str">
        <f t="shared" si="2"/>
        <v>Khusi</v>
      </c>
      <c r="H5" s="5" t="str">
        <f t="shared" si="3"/>
        <v>KHUSI KUVADIYA</v>
      </c>
      <c r="I5" s="6" t="str">
        <f t="shared" si="4"/>
        <v>khusi kuvadiya</v>
      </c>
      <c r="J5" s="5" t="str">
        <f t="shared" si="5"/>
        <v xml:space="preserve">  </v>
      </c>
      <c r="K5" s="6">
        <f t="shared" si="6"/>
        <v>155</v>
      </c>
      <c r="L5" s="5">
        <f t="shared" si="7"/>
        <v>77.5</v>
      </c>
      <c r="M5" s="24">
        <v>46156</v>
      </c>
    </row>
    <row r="6" spans="1:13" x14ac:dyDescent="0.3">
      <c r="A6" s="5">
        <v>105</v>
      </c>
      <c r="B6" s="5" t="s">
        <v>7</v>
      </c>
      <c r="C6" s="5">
        <v>45</v>
      </c>
      <c r="D6" s="6">
        <v>90</v>
      </c>
      <c r="E6" s="5" t="str">
        <f t="shared" si="0"/>
        <v>C</v>
      </c>
      <c r="F6" s="5" t="str">
        <f t="shared" si="1"/>
        <v>PASS</v>
      </c>
      <c r="G6" s="6" t="str">
        <f t="shared" si="2"/>
        <v>Ruchi</v>
      </c>
      <c r="H6" s="5" t="str">
        <f t="shared" si="3"/>
        <v>RUCHI DADHANIYA</v>
      </c>
      <c r="I6" s="6" t="str">
        <f t="shared" si="4"/>
        <v>ruchi dadhaniya</v>
      </c>
      <c r="J6" s="5" t="str">
        <f t="shared" si="5"/>
        <v xml:space="preserve">  </v>
      </c>
      <c r="K6" s="6">
        <f t="shared" si="6"/>
        <v>135</v>
      </c>
      <c r="L6" s="5">
        <f t="shared" si="7"/>
        <v>67.5</v>
      </c>
      <c r="M6" s="24">
        <v>46171</v>
      </c>
    </row>
    <row r="7" spans="1:13" x14ac:dyDescent="0.3">
      <c r="A7" s="5">
        <v>106</v>
      </c>
      <c r="B7" s="5" t="s">
        <v>8</v>
      </c>
      <c r="C7" s="5">
        <v>76</v>
      </c>
      <c r="D7" s="6">
        <v>35</v>
      </c>
      <c r="E7" s="5" t="str">
        <f t="shared" si="0"/>
        <v>Fail</v>
      </c>
      <c r="F7" s="5" t="str">
        <f t="shared" si="1"/>
        <v>FAIL</v>
      </c>
      <c r="G7" s="6" t="str">
        <f t="shared" si="2"/>
        <v>Jiya</v>
      </c>
      <c r="H7" s="5" t="str">
        <f t="shared" si="3"/>
        <v>JIYA PATEL</v>
      </c>
      <c r="I7" s="6" t="str">
        <f t="shared" si="4"/>
        <v>jiya patel</v>
      </c>
      <c r="J7" s="5" t="str">
        <f t="shared" si="5"/>
        <v xml:space="preserve">  </v>
      </c>
      <c r="K7" s="6">
        <f t="shared" si="6"/>
        <v>111</v>
      </c>
      <c r="L7" s="5">
        <f t="shared" si="7"/>
        <v>55.500000000000007</v>
      </c>
      <c r="M7" s="24">
        <v>46174</v>
      </c>
    </row>
    <row r="8" spans="1:13" x14ac:dyDescent="0.3">
      <c r="A8" s="5">
        <v>107</v>
      </c>
      <c r="B8" s="5" t="s">
        <v>9</v>
      </c>
      <c r="C8" s="5">
        <v>34</v>
      </c>
      <c r="D8" s="6">
        <v>67</v>
      </c>
      <c r="E8" s="5" t="str">
        <f t="shared" si="0"/>
        <v>Fail</v>
      </c>
      <c r="F8" s="5" t="str">
        <f t="shared" si="1"/>
        <v>FAIL</v>
      </c>
      <c r="G8" s="6" t="str">
        <f t="shared" si="2"/>
        <v>Daxa</v>
      </c>
      <c r="H8" s="5" t="str">
        <f t="shared" si="3"/>
        <v>DAXA GHORI</v>
      </c>
      <c r="I8" s="6" t="str">
        <f t="shared" si="4"/>
        <v>daxa ghori</v>
      </c>
      <c r="J8" s="5" t="str">
        <f t="shared" si="5"/>
        <v xml:space="preserve">  </v>
      </c>
      <c r="K8" s="6">
        <f t="shared" si="6"/>
        <v>101</v>
      </c>
      <c r="L8" s="5">
        <f t="shared" si="7"/>
        <v>50.5</v>
      </c>
      <c r="M8" s="24">
        <v>46185</v>
      </c>
    </row>
    <row r="9" spans="1:13" x14ac:dyDescent="0.3">
      <c r="A9" s="5">
        <v>108</v>
      </c>
      <c r="B9" s="5" t="s">
        <v>10</v>
      </c>
      <c r="C9" s="5">
        <v>79</v>
      </c>
      <c r="D9" s="6">
        <v>76</v>
      </c>
      <c r="E9" s="5" t="str">
        <f t="shared" si="0"/>
        <v>B</v>
      </c>
      <c r="F9" s="5" t="str">
        <f t="shared" si="1"/>
        <v>PASS</v>
      </c>
      <c r="G9" s="6" t="str">
        <f t="shared" si="2"/>
        <v>Nayra</v>
      </c>
      <c r="H9" s="5" t="str">
        <f t="shared" si="3"/>
        <v>NAYRA GHORI</v>
      </c>
      <c r="I9" s="6" t="str">
        <f t="shared" si="4"/>
        <v>nayra ghori</v>
      </c>
      <c r="J9" s="5" t="str">
        <f t="shared" si="5"/>
        <v xml:space="preserve">  </v>
      </c>
      <c r="K9" s="6">
        <f t="shared" si="6"/>
        <v>155</v>
      </c>
      <c r="L9" s="5">
        <f t="shared" si="7"/>
        <v>77.5</v>
      </c>
      <c r="M9" s="24">
        <v>46198</v>
      </c>
    </row>
    <row r="10" spans="1:13" x14ac:dyDescent="0.3">
      <c r="A10" s="5">
        <v>109</v>
      </c>
      <c r="B10" s="5" t="s">
        <v>11</v>
      </c>
      <c r="C10" s="5">
        <v>92</v>
      </c>
      <c r="D10" s="6">
        <v>83</v>
      </c>
      <c r="E10" s="5" t="str">
        <f t="shared" si="0"/>
        <v>A</v>
      </c>
      <c r="F10" s="5" t="str">
        <f t="shared" si="1"/>
        <v>PASS</v>
      </c>
      <c r="G10" s="6" t="str">
        <f t="shared" si="2"/>
        <v>Rudransh</v>
      </c>
      <c r="H10" s="5" t="str">
        <f t="shared" si="3"/>
        <v>RUDRANSH PATEL</v>
      </c>
      <c r="I10" s="6" t="str">
        <f t="shared" si="4"/>
        <v>rudransh patel</v>
      </c>
      <c r="J10" s="5" t="str">
        <f t="shared" si="5"/>
        <v>Rudransh Patel</v>
      </c>
      <c r="K10" s="6">
        <f t="shared" si="6"/>
        <v>175</v>
      </c>
      <c r="L10" s="5">
        <f t="shared" si="7"/>
        <v>87.5</v>
      </c>
      <c r="M10" s="24">
        <v>46218</v>
      </c>
    </row>
    <row r="11" spans="1:13" ht="15" thickBot="1" x14ac:dyDescent="0.35">
      <c r="A11" s="7">
        <v>110</v>
      </c>
      <c r="B11" s="7" t="s">
        <v>12</v>
      </c>
      <c r="C11" s="7">
        <v>74</v>
      </c>
      <c r="D11" s="8">
        <v>59</v>
      </c>
      <c r="E11" s="7" t="str">
        <f t="shared" si="0"/>
        <v>C</v>
      </c>
      <c r="F11" s="7" t="str">
        <f t="shared" si="1"/>
        <v>PASS</v>
      </c>
      <c r="G11" s="8" t="str">
        <f t="shared" si="2"/>
        <v>Jisha</v>
      </c>
      <c r="H11" s="7" t="str">
        <f t="shared" si="3"/>
        <v>JISHA GHORI</v>
      </c>
      <c r="I11" s="8" t="str">
        <f t="shared" si="4"/>
        <v>jisha ghori</v>
      </c>
      <c r="J11" s="7" t="str">
        <f t="shared" si="5"/>
        <v xml:space="preserve">  </v>
      </c>
      <c r="K11" s="8">
        <f t="shared" si="6"/>
        <v>133</v>
      </c>
      <c r="L11" s="7">
        <f t="shared" si="7"/>
        <v>66.5</v>
      </c>
      <c r="M11" s="25">
        <v>46233</v>
      </c>
    </row>
    <row r="14" spans="1:13" x14ac:dyDescent="0.3">
      <c r="A14" s="22" t="s">
        <v>31</v>
      </c>
      <c r="B14" s="22"/>
      <c r="C14" s="22"/>
    </row>
    <row r="15" spans="1:13" ht="15" thickBot="1" x14ac:dyDescent="0.35"/>
    <row r="16" spans="1:13" ht="15" thickBot="1" x14ac:dyDescent="0.35">
      <c r="A16" s="15" t="s">
        <v>25</v>
      </c>
      <c r="B16" s="17" t="s">
        <v>24</v>
      </c>
      <c r="C16" s="14" t="s">
        <v>0</v>
      </c>
    </row>
    <row r="17" spans="1:7" ht="15" thickBot="1" x14ac:dyDescent="0.35">
      <c r="A17" s="16" t="s">
        <v>23</v>
      </c>
      <c r="B17" s="18">
        <f>AVERAGE(C2:C11)</f>
        <v>72.2</v>
      </c>
      <c r="C17" s="13">
        <f>AVERAGE(D2:D11)</f>
        <v>71.2</v>
      </c>
    </row>
    <row r="20" spans="1:7" x14ac:dyDescent="0.3">
      <c r="A20" s="22" t="s">
        <v>30</v>
      </c>
      <c r="B20" s="22"/>
    </row>
    <row r="21" spans="1:7" ht="15" thickBot="1" x14ac:dyDescent="0.35"/>
    <row r="22" spans="1:7" ht="15" thickBot="1" x14ac:dyDescent="0.35">
      <c r="A22" s="9" t="s">
        <v>4</v>
      </c>
      <c r="B22" s="20" t="s">
        <v>27</v>
      </c>
      <c r="C22" s="1" t="s">
        <v>28</v>
      </c>
      <c r="D22" s="20" t="s">
        <v>29</v>
      </c>
    </row>
    <row r="23" spans="1:7" ht="15" thickBot="1" x14ac:dyDescent="0.35">
      <c r="A23" s="19" t="s">
        <v>26</v>
      </c>
      <c r="B23" s="21" t="str">
        <f>VLOOKUP(102, A2:M11, 5, FALSE)</f>
        <v>B</v>
      </c>
      <c r="C23" s="2">
        <f>VLOOKUP(102, A2:N11, 12, FALSE)</f>
        <v>69.5</v>
      </c>
      <c r="D23" s="21" t="str">
        <f>VLOOKUP(102, A2:O11, 6, FALSE)</f>
        <v>PASS</v>
      </c>
    </row>
    <row r="25" spans="1:7" x14ac:dyDescent="0.3">
      <c r="A25" s="22" t="s">
        <v>33</v>
      </c>
      <c r="B25" s="22"/>
    </row>
    <row r="26" spans="1:7" ht="15" thickBot="1" x14ac:dyDescent="0.35"/>
    <row r="27" spans="1:7" ht="15" thickBot="1" x14ac:dyDescent="0.35">
      <c r="A27" s="28" t="s">
        <v>34</v>
      </c>
      <c r="B27" s="10">
        <f ca="1">DATEDIF(M2,TODAY(),"D")</f>
        <v>173</v>
      </c>
      <c r="C27" s="11" t="s">
        <v>35</v>
      </c>
      <c r="E27" s="28" t="s">
        <v>38</v>
      </c>
      <c r="F27" s="38"/>
      <c r="G27" s="20" t="str">
        <f>TEXT(M2,"dd-mmm-yyyy")</f>
        <v>11-Mar-2026</v>
      </c>
    </row>
    <row r="28" spans="1:7" x14ac:dyDescent="0.3">
      <c r="B28" s="26">
        <f t="shared" ref="B28:B36" ca="1" si="8">DATEDIF(M3,TODAY(),"D")</f>
        <v>151</v>
      </c>
      <c r="C28" s="27" t="s">
        <v>35</v>
      </c>
      <c r="G28" s="3" t="str">
        <f t="shared" ref="G28:G36" si="9">TEXT(M3,"dd-mmm-yyyy")</f>
        <v>02-Apr-2026</v>
      </c>
    </row>
    <row r="29" spans="1:7" x14ac:dyDescent="0.3">
      <c r="B29" s="26">
        <f t="shared" ca="1" si="8"/>
        <v>117</v>
      </c>
      <c r="C29" s="27" t="s">
        <v>35</v>
      </c>
      <c r="D29" s="26"/>
      <c r="G29" s="3" t="str">
        <f t="shared" si="9"/>
        <v>06-May-2026</v>
      </c>
    </row>
    <row r="30" spans="1:7" x14ac:dyDescent="0.3">
      <c r="B30" s="26">
        <f t="shared" ca="1" si="8"/>
        <v>109</v>
      </c>
      <c r="C30" s="27" t="s">
        <v>35</v>
      </c>
      <c r="D30" s="26"/>
      <c r="G30" s="3" t="str">
        <f t="shared" si="9"/>
        <v>14-May-2026</v>
      </c>
    </row>
    <row r="31" spans="1:7" x14ac:dyDescent="0.3">
      <c r="B31" s="26">
        <f t="shared" ca="1" si="8"/>
        <v>94</v>
      </c>
      <c r="C31" s="27" t="s">
        <v>35</v>
      </c>
      <c r="D31" s="26"/>
      <c r="G31" s="3" t="str">
        <f t="shared" si="9"/>
        <v>29-May-2026</v>
      </c>
    </row>
    <row r="32" spans="1:7" x14ac:dyDescent="0.3">
      <c r="B32" s="26">
        <f t="shared" ca="1" si="8"/>
        <v>91</v>
      </c>
      <c r="C32" s="27" t="s">
        <v>35</v>
      </c>
      <c r="D32" s="26"/>
      <c r="G32" s="3" t="str">
        <f t="shared" si="9"/>
        <v>01-Jun-2026</v>
      </c>
    </row>
    <row r="33" spans="1:14" x14ac:dyDescent="0.3">
      <c r="B33" s="26">
        <f t="shared" ca="1" si="8"/>
        <v>80</v>
      </c>
      <c r="C33" s="27" t="s">
        <v>35</v>
      </c>
      <c r="G33" s="3" t="str">
        <f t="shared" si="9"/>
        <v>12-Jun-2026</v>
      </c>
    </row>
    <row r="34" spans="1:14" x14ac:dyDescent="0.3">
      <c r="B34" s="26">
        <f t="shared" ca="1" si="8"/>
        <v>67</v>
      </c>
      <c r="C34" s="27" t="s">
        <v>35</v>
      </c>
      <c r="G34" s="3" t="str">
        <f t="shared" si="9"/>
        <v>25-Jun-2026</v>
      </c>
    </row>
    <row r="35" spans="1:14" x14ac:dyDescent="0.3">
      <c r="B35" s="26">
        <f ca="1">DATEDIF(M10,TODAY(),"D")</f>
        <v>47</v>
      </c>
      <c r="C35" s="27" t="s">
        <v>35</v>
      </c>
      <c r="D35" s="26"/>
      <c r="G35" s="3" t="str">
        <f t="shared" si="9"/>
        <v>15-Jul-2026</v>
      </c>
    </row>
    <row r="36" spans="1:14" ht="15" thickBot="1" x14ac:dyDescent="0.35">
      <c r="B36" s="12">
        <f t="shared" ca="1" si="8"/>
        <v>32</v>
      </c>
      <c r="C36" s="13" t="s">
        <v>35</v>
      </c>
      <c r="D36" s="26"/>
      <c r="G36" s="4" t="str">
        <f t="shared" si="9"/>
        <v>30-Jul-2026</v>
      </c>
    </row>
    <row r="39" spans="1:14" x14ac:dyDescent="0.3">
      <c r="A39" s="22" t="s">
        <v>37</v>
      </c>
      <c r="B39" s="22"/>
      <c r="C39" s="22"/>
      <c r="D39" s="22"/>
    </row>
    <row r="40" spans="1:14" ht="15" thickBot="1" x14ac:dyDescent="0.35"/>
    <row r="41" spans="1:14" ht="16.2" thickBot="1" x14ac:dyDescent="0.35">
      <c r="A41" s="29" t="s">
        <v>36</v>
      </c>
      <c r="B41" s="30" cm="1">
        <f t="array" ref="B41:N43">_xlfn._xlws.FILTER(A2:M11,C2:C11&gt;80)</f>
        <v>101</v>
      </c>
      <c r="C41" s="1" t="str">
        <v>Krina Ghori</v>
      </c>
      <c r="D41" s="1">
        <v>89</v>
      </c>
      <c r="E41" s="1">
        <v>95</v>
      </c>
      <c r="F41" s="1" t="str">
        <v>A</v>
      </c>
      <c r="G41" s="1" t="str">
        <v>PASS</v>
      </c>
      <c r="H41" s="1" t="str">
        <v>Krina</v>
      </c>
      <c r="I41" s="1" t="str">
        <v>KRINA GHORI</v>
      </c>
      <c r="J41" s="1" t="str">
        <v>krina ghori</v>
      </c>
      <c r="K41" s="1" t="str">
        <v>Krina Ghori</v>
      </c>
      <c r="L41" s="1">
        <v>184</v>
      </c>
      <c r="M41" s="1">
        <v>92</v>
      </c>
      <c r="N41" s="33">
        <v>46092</v>
      </c>
    </row>
    <row r="42" spans="1:14" x14ac:dyDescent="0.3">
      <c r="B42" s="31">
        <v>104</v>
      </c>
      <c r="C42" s="34" t="str">
        <v>Khusi Kuvadiya</v>
      </c>
      <c r="D42" s="34">
        <v>90</v>
      </c>
      <c r="E42" s="34">
        <v>65</v>
      </c>
      <c r="F42" s="34" t="str">
        <v>B</v>
      </c>
      <c r="G42" s="34" t="str">
        <v>PASS</v>
      </c>
      <c r="H42" s="34" t="str">
        <v>Khusi</v>
      </c>
      <c r="I42" s="34" t="str">
        <v>KHUSI KUVADIYA</v>
      </c>
      <c r="J42" s="34" t="str">
        <v>khusi kuvadiya</v>
      </c>
      <c r="K42" s="34" t="str">
        <v xml:space="preserve">  </v>
      </c>
      <c r="L42" s="34">
        <v>155</v>
      </c>
      <c r="M42" s="34">
        <v>77.5</v>
      </c>
      <c r="N42" s="35">
        <v>46156</v>
      </c>
    </row>
    <row r="43" spans="1:14" ht="15" thickBot="1" x14ac:dyDescent="0.35">
      <c r="B43" s="32">
        <v>109</v>
      </c>
      <c r="C43" s="36" t="str">
        <v>Rudransh Patel</v>
      </c>
      <c r="D43" s="36">
        <v>92</v>
      </c>
      <c r="E43" s="36">
        <v>83</v>
      </c>
      <c r="F43" s="36" t="str">
        <v>A</v>
      </c>
      <c r="G43" s="36" t="str">
        <v>PASS</v>
      </c>
      <c r="H43" s="36" t="str">
        <v>Rudransh</v>
      </c>
      <c r="I43" s="36" t="str">
        <v>RUDRANSH PATEL</v>
      </c>
      <c r="J43" s="36" t="str">
        <v>rudransh patel</v>
      </c>
      <c r="K43" s="36" t="str">
        <v>Rudransh Patel</v>
      </c>
      <c r="L43" s="36">
        <v>175</v>
      </c>
      <c r="M43" s="36">
        <v>87.5</v>
      </c>
      <c r="N43" s="37">
        <v>46218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9C164-5C7A-4F16-8FAC-FC83D1A1766C}">
  <dimension ref="A1:O40"/>
  <sheetViews>
    <sheetView zoomScale="108" zoomScaleNormal="55" workbookViewId="0">
      <selection activeCell="F17" sqref="F17"/>
    </sheetView>
  </sheetViews>
  <sheetFormatPr defaultRowHeight="14.4" x14ac:dyDescent="0.3"/>
  <cols>
    <col min="1" max="1" width="11.33203125" customWidth="1"/>
    <col min="2" max="2" width="11.6640625" customWidth="1"/>
    <col min="3" max="3" width="12.44140625" customWidth="1"/>
    <col min="4" max="4" width="13.33203125" customWidth="1"/>
    <col min="5" max="5" width="12.5546875" customWidth="1"/>
    <col min="6" max="6" width="11.5546875" customWidth="1"/>
    <col min="7" max="7" width="11.6640625" customWidth="1"/>
    <col min="8" max="8" width="14.44140625" customWidth="1"/>
    <col min="9" max="9" width="12.109375" customWidth="1"/>
    <col min="10" max="10" width="10.77734375" customWidth="1"/>
    <col min="11" max="11" width="14.109375" customWidth="1"/>
    <col min="12" max="12" width="14.88671875" customWidth="1"/>
    <col min="13" max="13" width="14" customWidth="1"/>
    <col min="14" max="14" width="17.6640625" customWidth="1"/>
    <col min="15" max="15" width="15.5546875" customWidth="1"/>
  </cols>
  <sheetData>
    <row r="1" spans="1:15" ht="21.6" customHeight="1" thickBot="1" x14ac:dyDescent="0.35">
      <c r="A1" s="78" t="s">
        <v>39</v>
      </c>
      <c r="B1" s="79" t="s">
        <v>76</v>
      </c>
      <c r="C1" s="78" t="s">
        <v>44</v>
      </c>
      <c r="D1" s="79" t="s">
        <v>49</v>
      </c>
      <c r="E1" s="78" t="s">
        <v>89</v>
      </c>
      <c r="F1" s="79" t="s">
        <v>64</v>
      </c>
      <c r="G1" s="78" t="s">
        <v>70</v>
      </c>
      <c r="H1" s="79" t="s">
        <v>71</v>
      </c>
      <c r="I1" s="78" t="s">
        <v>72</v>
      </c>
      <c r="J1" s="79" t="s">
        <v>73</v>
      </c>
      <c r="K1" s="78" t="s">
        <v>74</v>
      </c>
      <c r="L1" s="79" t="s">
        <v>75</v>
      </c>
      <c r="M1" s="78" t="s">
        <v>77</v>
      </c>
      <c r="N1" s="79" t="s">
        <v>81</v>
      </c>
      <c r="O1" s="78" t="s">
        <v>82</v>
      </c>
    </row>
    <row r="2" spans="1:15" x14ac:dyDescent="0.3">
      <c r="A2" s="39">
        <v>1001</v>
      </c>
      <c r="B2" s="40" t="s">
        <v>40</v>
      </c>
      <c r="C2" s="39" t="s">
        <v>45</v>
      </c>
      <c r="D2" s="40" t="s">
        <v>50</v>
      </c>
      <c r="E2" s="39" t="s">
        <v>54</v>
      </c>
      <c r="F2" s="40" t="s">
        <v>65</v>
      </c>
      <c r="G2" s="39">
        <v>50000</v>
      </c>
      <c r="H2" s="40">
        <v>2</v>
      </c>
      <c r="I2" s="39">
        <v>100000</v>
      </c>
      <c r="J2" s="40" t="str">
        <f>IF(I2&gt;20000,"10%","0%")</f>
        <v>10%</v>
      </c>
      <c r="K2" s="39" t="str">
        <f>IF(I2&gt;20000,"YES","NO")</f>
        <v>YES</v>
      </c>
      <c r="L2" s="40" t="str">
        <f>LEFT(F2,3)</f>
        <v>Jan</v>
      </c>
      <c r="M2" s="39" t="s">
        <v>78</v>
      </c>
      <c r="N2" s="40" t="str">
        <f>_xlfn.TEXTJOIN(" ",TRUE,B2,M2)</f>
        <v>Rahul Mehta</v>
      </c>
      <c r="O2" s="39" t="str">
        <f>_xlfn.CONCAT(B2," ^ ",C2)</f>
        <v>Rahul ^ North</v>
      </c>
    </row>
    <row r="3" spans="1:15" x14ac:dyDescent="0.3">
      <c r="A3" s="39">
        <v>1002</v>
      </c>
      <c r="B3" s="40" t="s">
        <v>41</v>
      </c>
      <c r="C3" s="39" t="s">
        <v>46</v>
      </c>
      <c r="D3" s="40" t="s">
        <v>51</v>
      </c>
      <c r="E3" s="39" t="s">
        <v>55</v>
      </c>
      <c r="F3" s="40" t="s">
        <v>65</v>
      </c>
      <c r="G3" s="39">
        <v>800</v>
      </c>
      <c r="H3" s="40">
        <v>10</v>
      </c>
      <c r="I3" s="39">
        <v>8000</v>
      </c>
      <c r="J3" s="40" t="str">
        <f t="shared" ref="J3:J11" si="0">IF(I3&gt;20000,"10%","0%")</f>
        <v>0%</v>
      </c>
      <c r="K3" s="39" t="str">
        <f t="shared" ref="K3:K11" si="1">IF(I3&gt;20000,"YES","NO")</f>
        <v>NO</v>
      </c>
      <c r="L3" s="40" t="str">
        <f t="shared" ref="L3:L11" si="2">LEFT(F3,3)</f>
        <v>Jan</v>
      </c>
      <c r="M3" s="39" t="s">
        <v>79</v>
      </c>
      <c r="N3" s="40" t="str">
        <f t="shared" ref="N3:N11" si="3">_xlfn.TEXTJOIN(" ",TRUE,B3,M3)</f>
        <v>Priya Patel</v>
      </c>
      <c r="O3" s="39" t="str">
        <f t="shared" ref="O3:O11" si="4">_xlfn.CONCAT(B3," ^ ",C3)</f>
        <v>Priya ^ South</v>
      </c>
    </row>
    <row r="4" spans="1:15" x14ac:dyDescent="0.3">
      <c r="A4" s="39">
        <v>1003</v>
      </c>
      <c r="B4" s="40" t="s">
        <v>42</v>
      </c>
      <c r="C4" s="39" t="s">
        <v>47</v>
      </c>
      <c r="D4" s="40" t="s">
        <v>52</v>
      </c>
      <c r="E4" s="39" t="s">
        <v>56</v>
      </c>
      <c r="F4" s="40" t="s">
        <v>66</v>
      </c>
      <c r="G4" s="39">
        <v>1500</v>
      </c>
      <c r="H4" s="40">
        <v>5</v>
      </c>
      <c r="I4" s="39">
        <v>7500</v>
      </c>
      <c r="J4" s="40" t="str">
        <f t="shared" si="0"/>
        <v>0%</v>
      </c>
      <c r="K4" s="39" t="str">
        <f t="shared" si="1"/>
        <v>NO</v>
      </c>
      <c r="L4" s="40" t="str">
        <f t="shared" si="2"/>
        <v>Feb</v>
      </c>
      <c r="M4" s="39" t="s">
        <v>78</v>
      </c>
      <c r="N4" s="40" t="str">
        <f t="shared" si="3"/>
        <v>Amit Mehta</v>
      </c>
      <c r="O4" s="39" t="str">
        <f t="shared" si="4"/>
        <v>Amit ^ East</v>
      </c>
    </row>
    <row r="5" spans="1:15" x14ac:dyDescent="0.3">
      <c r="A5" s="39">
        <v>1004</v>
      </c>
      <c r="B5" s="40" t="s">
        <v>43</v>
      </c>
      <c r="C5" s="39" t="s">
        <v>48</v>
      </c>
      <c r="D5" s="40" t="s">
        <v>53</v>
      </c>
      <c r="E5" s="39" t="s">
        <v>57</v>
      </c>
      <c r="F5" s="40" t="s">
        <v>66</v>
      </c>
      <c r="G5" s="39">
        <v>12000</v>
      </c>
      <c r="H5" s="40">
        <v>3</v>
      </c>
      <c r="I5" s="39">
        <v>36000</v>
      </c>
      <c r="J5" s="40" t="str">
        <f t="shared" si="0"/>
        <v>10%</v>
      </c>
      <c r="K5" s="39" t="str">
        <f t="shared" si="1"/>
        <v>YES</v>
      </c>
      <c r="L5" s="40" t="str">
        <f t="shared" si="2"/>
        <v>Feb</v>
      </c>
      <c r="M5" s="39" t="s">
        <v>80</v>
      </c>
      <c r="N5" s="40" t="str">
        <f t="shared" si="3"/>
        <v>Neha Iyer</v>
      </c>
      <c r="O5" s="39" t="str">
        <f t="shared" si="4"/>
        <v>Neha ^ West</v>
      </c>
    </row>
    <row r="6" spans="1:15" x14ac:dyDescent="0.3">
      <c r="A6" s="39">
        <v>1005</v>
      </c>
      <c r="B6" s="40" t="s">
        <v>40</v>
      </c>
      <c r="C6" s="39" t="s">
        <v>45</v>
      </c>
      <c r="D6" s="40" t="s">
        <v>50</v>
      </c>
      <c r="E6" s="39" t="s">
        <v>58</v>
      </c>
      <c r="F6" s="40" t="s">
        <v>67</v>
      </c>
      <c r="G6" s="39">
        <v>50000</v>
      </c>
      <c r="H6" s="40">
        <v>1</v>
      </c>
      <c r="I6" s="39">
        <v>50000</v>
      </c>
      <c r="J6" s="40" t="str">
        <f t="shared" si="0"/>
        <v>10%</v>
      </c>
      <c r="K6" s="39" t="str">
        <f t="shared" si="1"/>
        <v>YES</v>
      </c>
      <c r="L6" s="40" t="str">
        <f t="shared" si="2"/>
        <v>Mar</v>
      </c>
      <c r="M6" s="39" t="s">
        <v>78</v>
      </c>
      <c r="N6" s="40" t="str">
        <f t="shared" si="3"/>
        <v>Rahul Mehta</v>
      </c>
      <c r="O6" s="39" t="str">
        <f t="shared" si="4"/>
        <v>Rahul ^ North</v>
      </c>
    </row>
    <row r="7" spans="1:15" x14ac:dyDescent="0.3">
      <c r="A7" s="39">
        <v>1006</v>
      </c>
      <c r="B7" s="40" t="s">
        <v>41</v>
      </c>
      <c r="C7" s="39" t="s">
        <v>46</v>
      </c>
      <c r="D7" s="40" t="s">
        <v>52</v>
      </c>
      <c r="E7" s="39" t="s">
        <v>59</v>
      </c>
      <c r="F7" s="40" t="s">
        <v>67</v>
      </c>
      <c r="G7" s="39">
        <v>1500</v>
      </c>
      <c r="H7" s="40">
        <v>8</v>
      </c>
      <c r="I7" s="39">
        <v>12000</v>
      </c>
      <c r="J7" s="40" t="str">
        <f t="shared" si="0"/>
        <v>0%</v>
      </c>
      <c r="K7" s="39" t="str">
        <f t="shared" si="1"/>
        <v>NO</v>
      </c>
      <c r="L7" s="40" t="str">
        <f t="shared" si="2"/>
        <v>Mar</v>
      </c>
      <c r="M7" s="39" t="s">
        <v>79</v>
      </c>
      <c r="N7" s="40" t="str">
        <f t="shared" si="3"/>
        <v>Priya Patel</v>
      </c>
      <c r="O7" s="39" t="str">
        <f t="shared" si="4"/>
        <v>Priya ^ South</v>
      </c>
    </row>
    <row r="8" spans="1:15" x14ac:dyDescent="0.3">
      <c r="A8" s="39">
        <v>1007</v>
      </c>
      <c r="B8" s="40" t="s">
        <v>42</v>
      </c>
      <c r="C8" s="39" t="s">
        <v>47</v>
      </c>
      <c r="D8" s="40" t="s">
        <v>51</v>
      </c>
      <c r="E8" s="39" t="s">
        <v>60</v>
      </c>
      <c r="F8" s="40" t="s">
        <v>68</v>
      </c>
      <c r="G8" s="39">
        <v>800</v>
      </c>
      <c r="H8" s="40">
        <v>15</v>
      </c>
      <c r="I8" s="39">
        <v>12000</v>
      </c>
      <c r="J8" s="40" t="str">
        <f t="shared" si="0"/>
        <v>0%</v>
      </c>
      <c r="K8" s="39" t="str">
        <f t="shared" si="1"/>
        <v>NO</v>
      </c>
      <c r="L8" s="40" t="str">
        <f t="shared" si="2"/>
        <v>Apr</v>
      </c>
      <c r="M8" s="39" t="s">
        <v>78</v>
      </c>
      <c r="N8" s="40" t="str">
        <f t="shared" si="3"/>
        <v>Amit Mehta</v>
      </c>
      <c r="O8" s="39" t="str">
        <f t="shared" si="4"/>
        <v>Amit ^ East</v>
      </c>
    </row>
    <row r="9" spans="1:15" x14ac:dyDescent="0.3">
      <c r="A9" s="39">
        <v>1008</v>
      </c>
      <c r="B9" s="40" t="s">
        <v>43</v>
      </c>
      <c r="C9" s="39" t="s">
        <v>48</v>
      </c>
      <c r="D9" s="40" t="s">
        <v>50</v>
      </c>
      <c r="E9" s="39" t="s">
        <v>61</v>
      </c>
      <c r="F9" s="40" t="s">
        <v>68</v>
      </c>
      <c r="G9" s="39">
        <v>50000</v>
      </c>
      <c r="H9" s="40">
        <v>2</v>
      </c>
      <c r="I9" s="39">
        <v>100000</v>
      </c>
      <c r="J9" s="40" t="str">
        <f t="shared" si="0"/>
        <v>10%</v>
      </c>
      <c r="K9" s="39" t="str">
        <f t="shared" si="1"/>
        <v>YES</v>
      </c>
      <c r="L9" s="40" t="str">
        <f t="shared" si="2"/>
        <v>Apr</v>
      </c>
      <c r="M9" s="39" t="s">
        <v>80</v>
      </c>
      <c r="N9" s="40" t="str">
        <f t="shared" si="3"/>
        <v>Neha Iyer</v>
      </c>
      <c r="O9" s="39" t="str">
        <f t="shared" si="4"/>
        <v>Neha ^ West</v>
      </c>
    </row>
    <row r="10" spans="1:15" x14ac:dyDescent="0.3">
      <c r="A10" s="39">
        <v>1009</v>
      </c>
      <c r="B10" s="40" t="s">
        <v>40</v>
      </c>
      <c r="C10" s="39" t="s">
        <v>45</v>
      </c>
      <c r="D10" s="40" t="s">
        <v>53</v>
      </c>
      <c r="E10" s="39" t="s">
        <v>62</v>
      </c>
      <c r="F10" s="40" t="s">
        <v>69</v>
      </c>
      <c r="G10" s="39">
        <v>12000</v>
      </c>
      <c r="H10" s="40">
        <v>4</v>
      </c>
      <c r="I10" s="39">
        <v>48000</v>
      </c>
      <c r="J10" s="40" t="str">
        <f t="shared" si="0"/>
        <v>10%</v>
      </c>
      <c r="K10" s="39" t="str">
        <f t="shared" si="1"/>
        <v>YES</v>
      </c>
      <c r="L10" s="40" t="str">
        <f t="shared" si="2"/>
        <v>May</v>
      </c>
      <c r="M10" s="39" t="s">
        <v>78</v>
      </c>
      <c r="N10" s="40" t="str">
        <f t="shared" si="3"/>
        <v>Rahul Mehta</v>
      </c>
      <c r="O10" s="39" t="str">
        <f t="shared" si="4"/>
        <v>Rahul ^ North</v>
      </c>
    </row>
    <row r="11" spans="1:15" ht="15" thickBot="1" x14ac:dyDescent="0.35">
      <c r="A11" s="41">
        <v>1010</v>
      </c>
      <c r="B11" s="42" t="s">
        <v>41</v>
      </c>
      <c r="C11" s="41" t="s">
        <v>46</v>
      </c>
      <c r="D11" s="42" t="s">
        <v>51</v>
      </c>
      <c r="E11" s="41" t="s">
        <v>63</v>
      </c>
      <c r="F11" s="42" t="s">
        <v>69</v>
      </c>
      <c r="G11" s="41">
        <v>800</v>
      </c>
      <c r="H11" s="42">
        <v>20</v>
      </c>
      <c r="I11" s="41">
        <v>16000</v>
      </c>
      <c r="J11" s="42" t="str">
        <f t="shared" si="0"/>
        <v>0%</v>
      </c>
      <c r="K11" s="41" t="str">
        <f t="shared" si="1"/>
        <v>NO</v>
      </c>
      <c r="L11" s="42" t="str">
        <f t="shared" si="2"/>
        <v>May</v>
      </c>
      <c r="M11" s="41" t="s">
        <v>79</v>
      </c>
      <c r="N11" s="42" t="str">
        <f t="shared" si="3"/>
        <v>Priya Patel</v>
      </c>
      <c r="O11" s="41" t="str">
        <f t="shared" si="4"/>
        <v>Priya ^ South</v>
      </c>
    </row>
    <row r="14" spans="1:15" x14ac:dyDescent="0.3">
      <c r="A14" s="43" t="s">
        <v>83</v>
      </c>
      <c r="B14" s="43"/>
      <c r="C14" s="43"/>
      <c r="D14" s="43"/>
      <c r="E14" s="43"/>
    </row>
    <row r="15" spans="1:15" ht="15" thickBot="1" x14ac:dyDescent="0.35"/>
    <row r="16" spans="1:15" ht="15" thickBot="1" x14ac:dyDescent="0.35">
      <c r="A16" s="21" t="s">
        <v>86</v>
      </c>
      <c r="B16" s="48" t="s">
        <v>45</v>
      </c>
      <c r="D16" s="21" t="s">
        <v>87</v>
      </c>
      <c r="E16" s="48" t="s">
        <v>50</v>
      </c>
    </row>
    <row r="18" spans="1:8" ht="15" thickBot="1" x14ac:dyDescent="0.35"/>
    <row r="19" spans="1:8" ht="15" thickBot="1" x14ac:dyDescent="0.35">
      <c r="B19" s="44" t="s">
        <v>88</v>
      </c>
      <c r="C19" s="46"/>
      <c r="D19" s="70">
        <f>SUMIFS(I2:I11,C2:C11,B16,D2:D11,E16)</f>
        <v>150000</v>
      </c>
    </row>
    <row r="22" spans="1:8" x14ac:dyDescent="0.3">
      <c r="A22" s="43" t="s">
        <v>90</v>
      </c>
      <c r="B22" s="43"/>
      <c r="C22" s="43"/>
      <c r="D22" s="43"/>
      <c r="E22" s="43"/>
    </row>
    <row r="23" spans="1:8" ht="15" thickBot="1" x14ac:dyDescent="0.35"/>
    <row r="24" spans="1:8" ht="15" thickBot="1" x14ac:dyDescent="0.35">
      <c r="A24" s="44" t="s">
        <v>91</v>
      </c>
      <c r="B24" s="48" t="s">
        <v>57</v>
      </c>
    </row>
    <row r="25" spans="1:8" ht="15" thickBot="1" x14ac:dyDescent="0.35"/>
    <row r="26" spans="1:8" ht="15" thickBot="1" x14ac:dyDescent="0.35">
      <c r="B26" s="49" t="s">
        <v>92</v>
      </c>
      <c r="C26" s="50" t="s">
        <v>93</v>
      </c>
      <c r="D26" s="49" t="s">
        <v>84</v>
      </c>
      <c r="E26" s="50" t="s">
        <v>85</v>
      </c>
      <c r="F26" s="49" t="s">
        <v>94</v>
      </c>
      <c r="G26" s="50" t="s">
        <v>95</v>
      </c>
      <c r="H26" s="49" t="s">
        <v>96</v>
      </c>
    </row>
    <row r="27" spans="1:8" ht="15" thickBot="1" x14ac:dyDescent="0.35">
      <c r="B27" s="4">
        <f>_xlfn.XLOOKUP(B24,$E$2:$E$11,$A$2:$A$11,"Not Found")</f>
        <v>1004</v>
      </c>
      <c r="C27" s="36" t="str">
        <f>_xlfn.XLOOKUP(B24,$E$2:$E$11,$B$2:$B$11,"Not Found")</f>
        <v>Neha</v>
      </c>
      <c r="D27" s="4" t="str">
        <f>_xlfn.XLOOKUP(B24,$E$2:$E$11,$C$2:$C$11,"Not Found")</f>
        <v>West</v>
      </c>
      <c r="E27" s="36" t="str">
        <f>_xlfn.XLOOKUP(B24,$E$2:$E$11,$D$2:$D$11,"Not Found")</f>
        <v>Monitor</v>
      </c>
      <c r="F27" s="4">
        <f>_xlfn.XLOOKUP(B24,$E$2:$E$11,$G$2:$G$11,"Not Found")</f>
        <v>12000</v>
      </c>
      <c r="G27" s="36">
        <f>_xlfn.XLOOKUP(B24,$E$2:$E$11,$H$2:$H$11,"Not Found")</f>
        <v>3</v>
      </c>
      <c r="H27" s="4">
        <f>_xlfn.XLOOKUP(B24,$E$2:$E$11,$I$2:$I$11,"Not Found")</f>
        <v>36000</v>
      </c>
    </row>
    <row r="31" spans="1:8" x14ac:dyDescent="0.3">
      <c r="A31" s="43" t="s">
        <v>97</v>
      </c>
      <c r="B31" s="43"/>
      <c r="C31" s="43"/>
      <c r="D31" s="43"/>
    </row>
    <row r="32" spans="1:8" ht="15" thickBot="1" x14ac:dyDescent="0.35"/>
    <row r="33" spans="1:4" ht="15" thickBot="1" x14ac:dyDescent="0.35">
      <c r="A33" s="21" t="s">
        <v>98</v>
      </c>
      <c r="B33" s="48">
        <f>_xlfn.XMATCH("Priya",B2:B11)</f>
        <v>2</v>
      </c>
    </row>
    <row r="36" spans="1:4" x14ac:dyDescent="0.3">
      <c r="A36" s="43" t="s">
        <v>99</v>
      </c>
      <c r="B36" s="43"/>
      <c r="C36" s="43"/>
      <c r="D36" s="43"/>
    </row>
    <row r="38" spans="1:4" ht="15" thickBot="1" x14ac:dyDescent="0.35"/>
    <row r="39" spans="1:4" ht="15" thickBot="1" x14ac:dyDescent="0.35">
      <c r="A39" s="51" t="s">
        <v>100</v>
      </c>
      <c r="B39" s="53" t="s">
        <v>102</v>
      </c>
    </row>
    <row r="40" spans="1:4" ht="15" thickBot="1" x14ac:dyDescent="0.35">
      <c r="A40" s="52" t="s">
        <v>101</v>
      </c>
      <c r="B40" s="71">
        <f ca="1">SUM(INDIRECT(B39))</f>
        <v>389500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91792-B924-4FBC-8C74-4D91C7523E5F}">
  <dimension ref="A1:I40"/>
  <sheetViews>
    <sheetView zoomScale="77" workbookViewId="0">
      <selection activeCell="C38" sqref="C38"/>
    </sheetView>
  </sheetViews>
  <sheetFormatPr defaultRowHeight="14.4" x14ac:dyDescent="0.3"/>
  <cols>
    <col min="1" max="1" width="13.5546875" customWidth="1"/>
    <col min="2" max="2" width="22.44140625" customWidth="1"/>
    <col min="3" max="3" width="14.33203125" customWidth="1"/>
    <col min="4" max="4" width="14.6640625" customWidth="1"/>
    <col min="5" max="5" width="15.21875" customWidth="1"/>
    <col min="6" max="6" width="12.21875" customWidth="1"/>
    <col min="7" max="7" width="11.21875" customWidth="1"/>
    <col min="8" max="8" width="15.44140625" customWidth="1"/>
    <col min="9" max="9" width="17" customWidth="1"/>
  </cols>
  <sheetData>
    <row r="1" spans="1:9" ht="20.399999999999999" customHeight="1" thickBot="1" x14ac:dyDescent="0.35">
      <c r="A1" s="59" t="s">
        <v>122</v>
      </c>
      <c r="B1" s="54" t="s">
        <v>123</v>
      </c>
      <c r="C1" s="59" t="s">
        <v>125</v>
      </c>
      <c r="D1" s="54" t="s">
        <v>126</v>
      </c>
      <c r="E1" s="59" t="s">
        <v>127</v>
      </c>
      <c r="F1" s="54" t="s">
        <v>128</v>
      </c>
      <c r="G1" s="59" t="s">
        <v>129</v>
      </c>
      <c r="H1" s="64" t="s">
        <v>135</v>
      </c>
      <c r="I1" s="59" t="s">
        <v>136</v>
      </c>
    </row>
    <row r="2" spans="1:9" x14ac:dyDescent="0.3">
      <c r="A2" s="60" t="s">
        <v>124</v>
      </c>
      <c r="B2" s="55" t="s">
        <v>103</v>
      </c>
      <c r="C2" s="60" t="s">
        <v>130</v>
      </c>
      <c r="D2" s="56">
        <v>37391</v>
      </c>
      <c r="E2" s="62">
        <v>45453</v>
      </c>
      <c r="F2" s="55">
        <v>45000</v>
      </c>
      <c r="G2" s="67">
        <f ca="1">DATEDIF(D2,TODAY(),"Y")</f>
        <v>24</v>
      </c>
      <c r="H2" s="9">
        <f ca="1">DATEDIF(E2,TODAY(),"D")</f>
        <v>812</v>
      </c>
      <c r="I2" s="5">
        <f ca="1">DATEDIF(E2,TODAY(),"M")</f>
        <v>26</v>
      </c>
    </row>
    <row r="3" spans="1:9" x14ac:dyDescent="0.3">
      <c r="A3" s="60" t="s">
        <v>104</v>
      </c>
      <c r="B3" s="55" t="s">
        <v>105</v>
      </c>
      <c r="C3" s="60" t="s">
        <v>131</v>
      </c>
      <c r="D3" s="56">
        <v>37125</v>
      </c>
      <c r="E3" s="62">
        <v>45122</v>
      </c>
      <c r="F3" s="55">
        <v>40000</v>
      </c>
      <c r="G3" s="60">
        <f t="shared" ref="G3:G11" ca="1" si="0">DATEDIF(D3,TODAY(),"Y")</f>
        <v>25</v>
      </c>
      <c r="H3" s="5">
        <f t="shared" ref="H3:H11" ca="1" si="1">DATEDIF(E3,TODAY(),"D")</f>
        <v>1143</v>
      </c>
      <c r="I3" s="5">
        <f t="shared" ref="I3:I11" ca="1" si="2">DATEDIF(E3,TODAY(),"M")</f>
        <v>37</v>
      </c>
    </row>
    <row r="4" spans="1:9" x14ac:dyDescent="0.3">
      <c r="A4" s="60" t="s">
        <v>106</v>
      </c>
      <c r="B4" s="55" t="s">
        <v>107</v>
      </c>
      <c r="C4" s="60" t="s">
        <v>132</v>
      </c>
      <c r="D4" s="56">
        <v>36566</v>
      </c>
      <c r="E4" s="62">
        <v>44581</v>
      </c>
      <c r="F4" s="55">
        <v>55000</v>
      </c>
      <c r="G4" s="60">
        <f t="shared" ca="1" si="0"/>
        <v>26</v>
      </c>
      <c r="H4" s="5">
        <f t="shared" ca="1" si="1"/>
        <v>1684</v>
      </c>
      <c r="I4" s="5">
        <f t="shared" ca="1" si="2"/>
        <v>55</v>
      </c>
    </row>
    <row r="5" spans="1:9" x14ac:dyDescent="0.3">
      <c r="A5" s="60" t="s">
        <v>108</v>
      </c>
      <c r="B5" s="55" t="s">
        <v>109</v>
      </c>
      <c r="C5" s="60" t="s">
        <v>133</v>
      </c>
      <c r="D5" s="56">
        <v>37930</v>
      </c>
      <c r="E5" s="62">
        <v>45874</v>
      </c>
      <c r="F5" s="55">
        <v>35000</v>
      </c>
      <c r="G5" s="60">
        <f t="shared" ca="1" si="0"/>
        <v>22</v>
      </c>
      <c r="H5" s="5">
        <f t="shared" ca="1" si="1"/>
        <v>391</v>
      </c>
      <c r="I5" s="5">
        <f t="shared" ca="1" si="2"/>
        <v>12</v>
      </c>
    </row>
    <row r="6" spans="1:9" x14ac:dyDescent="0.3">
      <c r="A6" s="60" t="s">
        <v>110</v>
      </c>
      <c r="B6" s="55" t="s">
        <v>111</v>
      </c>
      <c r="C6" s="60" t="s">
        <v>130</v>
      </c>
      <c r="D6" s="56">
        <v>36237</v>
      </c>
      <c r="E6" s="62">
        <v>44298</v>
      </c>
      <c r="F6" s="55">
        <v>65000</v>
      </c>
      <c r="G6" s="60">
        <f t="shared" ca="1" si="0"/>
        <v>27</v>
      </c>
      <c r="H6" s="5">
        <f t="shared" ca="1" si="1"/>
        <v>1967</v>
      </c>
      <c r="I6" s="5">
        <f t="shared" ca="1" si="2"/>
        <v>64</v>
      </c>
    </row>
    <row r="7" spans="1:9" x14ac:dyDescent="0.3">
      <c r="A7" s="60" t="s">
        <v>112</v>
      </c>
      <c r="B7" s="55" t="s">
        <v>113</v>
      </c>
      <c r="C7" s="60" t="s">
        <v>134</v>
      </c>
      <c r="D7" s="56">
        <v>37529</v>
      </c>
      <c r="E7" s="62">
        <v>45553</v>
      </c>
      <c r="F7" s="55">
        <v>42000</v>
      </c>
      <c r="G7" s="60">
        <f t="shared" ca="1" si="0"/>
        <v>23</v>
      </c>
      <c r="H7" s="5">
        <f t="shared" ca="1" si="1"/>
        <v>712</v>
      </c>
      <c r="I7" s="5">
        <f t="shared" ca="1" si="2"/>
        <v>23</v>
      </c>
    </row>
    <row r="8" spans="1:9" x14ac:dyDescent="0.3">
      <c r="A8" s="60" t="s">
        <v>114</v>
      </c>
      <c r="B8" s="55" t="s">
        <v>115</v>
      </c>
      <c r="C8" s="60" t="s">
        <v>131</v>
      </c>
      <c r="D8" s="56">
        <v>36903</v>
      </c>
      <c r="E8" s="62">
        <v>45071</v>
      </c>
      <c r="F8" s="55">
        <v>48000</v>
      </c>
      <c r="G8" s="60">
        <f t="shared" ca="1" si="0"/>
        <v>25</v>
      </c>
      <c r="H8" s="5">
        <f t="shared" ca="1" si="1"/>
        <v>1194</v>
      </c>
      <c r="I8" s="5">
        <f t="shared" ca="1" si="2"/>
        <v>39</v>
      </c>
    </row>
    <row r="9" spans="1:9" x14ac:dyDescent="0.3">
      <c r="A9" s="60" t="s">
        <v>116</v>
      </c>
      <c r="B9" s="55" t="s">
        <v>117</v>
      </c>
      <c r="C9" s="60" t="s">
        <v>132</v>
      </c>
      <c r="D9" s="56">
        <v>35971</v>
      </c>
      <c r="E9" s="62">
        <v>43871</v>
      </c>
      <c r="F9" s="55">
        <v>70000</v>
      </c>
      <c r="G9" s="60">
        <f t="shared" ca="1" si="0"/>
        <v>28</v>
      </c>
      <c r="H9" s="5">
        <f t="shared" ca="1" si="1"/>
        <v>2394</v>
      </c>
      <c r="I9" s="5">
        <f t="shared" ca="1" si="2"/>
        <v>78</v>
      </c>
    </row>
    <row r="10" spans="1:9" x14ac:dyDescent="0.3">
      <c r="A10" s="60" t="s">
        <v>118</v>
      </c>
      <c r="B10" s="55" t="s">
        <v>119</v>
      </c>
      <c r="C10" s="60" t="s">
        <v>130</v>
      </c>
      <c r="D10" s="56">
        <v>37963</v>
      </c>
      <c r="E10" s="62">
        <v>45839</v>
      </c>
      <c r="F10" s="55">
        <v>38000</v>
      </c>
      <c r="G10" s="60">
        <f t="shared" ca="1" si="0"/>
        <v>22</v>
      </c>
      <c r="H10" s="5">
        <f t="shared" ca="1" si="1"/>
        <v>426</v>
      </c>
      <c r="I10" s="5">
        <f t="shared" ca="1" si="2"/>
        <v>13</v>
      </c>
    </row>
    <row r="11" spans="1:9" ht="15" thickBot="1" x14ac:dyDescent="0.35">
      <c r="A11" s="61" t="s">
        <v>120</v>
      </c>
      <c r="B11" s="57" t="s">
        <v>121</v>
      </c>
      <c r="C11" s="61" t="s">
        <v>134</v>
      </c>
      <c r="D11" s="58">
        <v>36630</v>
      </c>
      <c r="E11" s="63">
        <v>44642</v>
      </c>
      <c r="F11" s="57">
        <v>52000</v>
      </c>
      <c r="G11" s="61">
        <f t="shared" ca="1" si="0"/>
        <v>26</v>
      </c>
      <c r="H11" s="7">
        <f t="shared" ca="1" si="1"/>
        <v>1623</v>
      </c>
      <c r="I11" s="7">
        <f t="shared" ca="1" si="2"/>
        <v>53</v>
      </c>
    </row>
    <row r="14" spans="1:9" ht="13.8" customHeight="1" x14ac:dyDescent="0.3">
      <c r="A14" s="65" t="s">
        <v>137</v>
      </c>
      <c r="B14" s="66"/>
    </row>
    <row r="15" spans="1:9" ht="15" thickBot="1" x14ac:dyDescent="0.35"/>
    <row r="16" spans="1:9" ht="15" thickBot="1" x14ac:dyDescent="0.35">
      <c r="A16" s="21" t="s">
        <v>138</v>
      </c>
      <c r="B16" s="53">
        <v>65000</v>
      </c>
    </row>
    <row r="17" spans="1:9" ht="15" thickBot="1" x14ac:dyDescent="0.35">
      <c r="A17" s="4" t="s">
        <v>139</v>
      </c>
      <c r="B17" s="69" t="str">
        <f>IF(B16&gt;=50000,"High Salary","Low Salary")</f>
        <v>High Salary</v>
      </c>
    </row>
    <row r="20" spans="1:9" x14ac:dyDescent="0.3">
      <c r="A20" s="68" t="s">
        <v>146</v>
      </c>
      <c r="B20" s="66"/>
      <c r="D20" s="66" t="s">
        <v>141</v>
      </c>
      <c r="E20" s="66"/>
      <c r="F20" s="66"/>
      <c r="H20" s="66" t="s">
        <v>143</v>
      </c>
      <c r="I20" s="66"/>
    </row>
    <row r="21" spans="1:9" ht="15" thickBot="1" x14ac:dyDescent="0.35"/>
    <row r="22" spans="1:9" ht="15" thickBot="1" x14ac:dyDescent="0.35">
      <c r="A22" s="21" t="s">
        <v>140</v>
      </c>
      <c r="B22" s="53" t="s">
        <v>131</v>
      </c>
      <c r="D22" s="21" t="s">
        <v>140</v>
      </c>
      <c r="E22" s="53" t="s">
        <v>142</v>
      </c>
      <c r="H22" s="21" t="s">
        <v>140</v>
      </c>
      <c r="I22" s="53" t="s">
        <v>130</v>
      </c>
    </row>
    <row r="23" spans="1:9" ht="15" thickBot="1" x14ac:dyDescent="0.35">
      <c r="A23" s="4"/>
      <c r="B23" s="69">
        <f>COUNTIF(C2:C11,B22)</f>
        <v>2</v>
      </c>
      <c r="D23" s="4"/>
      <c r="E23" s="69">
        <f>AVERAGEIF(C2:C11,E22,F2:F11)</f>
        <v>35000</v>
      </c>
      <c r="H23" s="4"/>
      <c r="I23" s="69">
        <f>SUMIF(C2:C11,I22,F2:F11)</f>
        <v>148000</v>
      </c>
    </row>
    <row r="26" spans="1:9" x14ac:dyDescent="0.3">
      <c r="A26" s="66" t="s">
        <v>147</v>
      </c>
      <c r="B26" s="66"/>
      <c r="C26" s="66"/>
    </row>
    <row r="28" spans="1:9" ht="15" thickBot="1" x14ac:dyDescent="0.35"/>
    <row r="29" spans="1:9" ht="15" thickBot="1" x14ac:dyDescent="0.35">
      <c r="A29" s="45" t="s">
        <v>144</v>
      </c>
      <c r="B29" s="73" t="str" cm="1">
        <f t="array" ref="B29:G32">_xlfn._xlws.FILTER(A2:F11,F2:F11&gt;50000,"NO EMPLOYEE FOUND")</f>
        <v>E103</v>
      </c>
      <c r="C29" s="1" t="str">
        <v>Amit Shah</v>
      </c>
      <c r="D29" s="20" t="str">
        <v>Finance</v>
      </c>
      <c r="E29" s="1">
        <v>36566</v>
      </c>
      <c r="F29" s="20">
        <v>44581</v>
      </c>
      <c r="G29" s="33">
        <v>55000</v>
      </c>
    </row>
    <row r="30" spans="1:9" x14ac:dyDescent="0.3">
      <c r="A30" s="72"/>
      <c r="B30" s="74" t="str">
        <v>E105</v>
      </c>
      <c r="C30" s="34" t="str">
        <v>Riya Desai</v>
      </c>
      <c r="D30" s="3" t="str">
        <v>IT</v>
      </c>
      <c r="E30" s="34">
        <v>36237</v>
      </c>
      <c r="F30" s="3">
        <v>44298</v>
      </c>
      <c r="G30" s="35">
        <v>65000</v>
      </c>
    </row>
    <row r="31" spans="1:9" x14ac:dyDescent="0.3">
      <c r="A31" s="72"/>
      <c r="B31" s="74" t="str">
        <v>E108</v>
      </c>
      <c r="C31" s="34" t="str">
        <v>Karan Trivedi</v>
      </c>
      <c r="D31" s="3" t="str">
        <v>Finance</v>
      </c>
      <c r="E31" s="34">
        <v>35971</v>
      </c>
      <c r="F31" s="3">
        <v>43871</v>
      </c>
      <c r="G31" s="35">
        <v>70000</v>
      </c>
    </row>
    <row r="32" spans="1:9" ht="15" thickBot="1" x14ac:dyDescent="0.35">
      <c r="A32" s="72"/>
      <c r="B32" s="75" t="str">
        <v>E110</v>
      </c>
      <c r="C32" s="36" t="str">
        <v>Arjun Mehta</v>
      </c>
      <c r="D32" s="4" t="str">
        <v>Sales</v>
      </c>
      <c r="E32" s="36">
        <v>36630</v>
      </c>
      <c r="F32" s="4">
        <v>44642</v>
      </c>
      <c r="G32" s="37">
        <v>52000</v>
      </c>
    </row>
    <row r="35" spans="1:5" x14ac:dyDescent="0.3">
      <c r="A35" s="66" t="s">
        <v>145</v>
      </c>
      <c r="B35" s="66"/>
      <c r="C35" s="66"/>
    </row>
    <row r="36" spans="1:5" ht="15" thickBot="1" x14ac:dyDescent="0.35"/>
    <row r="37" spans="1:5" ht="15" thickBot="1" x14ac:dyDescent="0.35">
      <c r="A37" s="47" t="s">
        <v>148</v>
      </c>
      <c r="B37" s="47"/>
      <c r="C37" s="51" t="s">
        <v>110</v>
      </c>
      <c r="D37" s="34"/>
      <c r="E37" s="34"/>
    </row>
    <row r="38" spans="1:5" ht="15" thickBot="1" x14ac:dyDescent="0.35">
      <c r="C38" s="34"/>
      <c r="D38" s="34"/>
      <c r="E38" s="34"/>
    </row>
    <row r="39" spans="1:5" ht="15" thickBot="1" x14ac:dyDescent="0.35">
      <c r="C39" s="48" t="s">
        <v>93</v>
      </c>
      <c r="D39" s="76" t="s">
        <v>149</v>
      </c>
      <c r="E39" s="48" t="s">
        <v>150</v>
      </c>
    </row>
    <row r="40" spans="1:5" ht="15" thickBot="1" x14ac:dyDescent="0.35">
      <c r="C40" s="75" t="str">
        <f>INDEX(B2:B11,MATCH(C37,A2:A11,0))</f>
        <v>Riya Desai</v>
      </c>
      <c r="D40" s="77" t="str">
        <f>INDEX(C2:C11,MATCH(C37,A2:A11,0))</f>
        <v>IT</v>
      </c>
      <c r="E40" s="75">
        <f>INDEX(F2:F11,MATCH(C37,A2:A11,0))</f>
        <v>65000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DATA</vt:lpstr>
      <vt:lpstr>SALES DATA</vt:lpstr>
      <vt:lpstr>EMPLPLOYEE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krinaghori2009@hotmail.com</dc:creator>
  <cp:lastModifiedBy>krinaghori2009@hotmail.com</cp:lastModifiedBy>
  <dcterms:created xsi:type="dcterms:W3CDTF">2026-08-30T08:20:12Z</dcterms:created>
  <dcterms:modified xsi:type="dcterms:W3CDTF">2026-08-31T10:21:08Z</dcterms:modified>
</cp:coreProperties>
</file>