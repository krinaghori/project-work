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AI-ML &amp; DATA SCIENCE\EXCEL\PR_2 ANALYZER\"/>
    </mc:Choice>
  </mc:AlternateContent>
  <xr:revisionPtr revIDLastSave="0" documentId="13_ncr:1_{F54BB85A-D7DB-4432-83F5-05F3B4A30579}" xr6:coauthVersionLast="47" xr6:coauthVersionMax="47" xr10:uidLastSave="{00000000-0000-0000-0000-000000000000}"/>
  <bookViews>
    <workbookView xWindow="-96" yWindow="0" windowWidth="16476" windowHeight="13776" firstSheet="4" activeTab="7" xr2:uid="{00000000-000D-0000-FFFF-FFFF00000000}"/>
  </bookViews>
  <sheets>
    <sheet name="Sales_Data" sheetId="1" r:id="rId1"/>
    <sheet name="Analysis" sheetId="3" r:id="rId2"/>
    <sheet name="Descriptive_Stats" sheetId="5" r:id="rId3"/>
    <sheet name="Regression" sheetId="6" r:id="rId4"/>
    <sheet name="Monthly_Sales" sheetId="9" r:id="rId5"/>
    <sheet name="Top Customer" sheetId="10" r:id="rId6"/>
    <sheet name="Pivot Table" sheetId="15" r:id="rId7"/>
    <sheet name="Charts" sheetId="16" r:id="rId8"/>
  </sheets>
  <definedNames>
    <definedName name="_xlnm._FilterDatabase" localSheetId="0" hidden="1">Sales_Data!$A$1:$L$251</definedName>
  </definedNames>
  <calcPr calcId="191029"/>
  <pivotCaches>
    <pivotCache cacheId="1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0" l="1" a="1"/>
  <c r="C4" i="9"/>
  <c r="A4" i="9"/>
  <c r="A29" i="6" a="1"/>
  <c r="H6" i="3" a="1"/>
  <c r="H5" i="3" a="1"/>
  <c r="H7" i="3" a="1"/>
  <c r="H8" i="3" a="1"/>
  <c r="H9" i="3" a="1"/>
  <c r="H10" i="3" a="1"/>
  <c r="H11" i="3" a="1"/>
  <c r="H12" i="3" a="1"/>
  <c r="H13" i="3" a="1"/>
  <c r="H14" i="3" a="1"/>
  <c r="H15" i="3" a="1"/>
  <c r="H16" i="3" a="1"/>
  <c r="H17" i="3" a="1"/>
  <c r="H18" i="3" a="1"/>
  <c r="H19" i="3" a="1"/>
  <c r="B5" i="3" a="1"/>
  <c r="D14" i="10" l="1"/>
  <c r="C14" i="10"/>
  <c r="D6" i="10"/>
  <c r="D7" i="10"/>
  <c r="D8" i="10"/>
  <c r="D9" i="10"/>
  <c r="D10" i="10"/>
  <c r="D11" i="10"/>
  <c r="D12" i="10"/>
  <c r="D13" i="10"/>
  <c r="D5" i="10"/>
  <c r="C6" i="10"/>
  <c r="C7" i="10"/>
  <c r="C8" i="10"/>
  <c r="C9" i="10"/>
  <c r="C10" i="10"/>
  <c r="C11" i="10"/>
  <c r="C12" i="10"/>
  <c r="C13" i="10"/>
  <c r="C5" i="10"/>
  <c r="B4" i="9"/>
  <c r="A5" i="9"/>
  <c r="B30" i="6"/>
  <c r="B32" i="6"/>
  <c r="B35" i="6"/>
  <c r="B37" i="6"/>
  <c r="B39" i="6"/>
  <c r="B42" i="6"/>
  <c r="C30" i="6"/>
  <c r="C33" i="6"/>
  <c r="C35" i="6"/>
  <c r="C36" i="6"/>
  <c r="C38" i="6"/>
  <c r="C40" i="6"/>
  <c r="C42" i="6"/>
  <c r="B40" i="6"/>
  <c r="B31" i="6"/>
  <c r="B33" i="6"/>
  <c r="B34" i="6"/>
  <c r="B36" i="6"/>
  <c r="B38" i="6"/>
  <c r="B41" i="6"/>
  <c r="B43" i="6"/>
  <c r="C31" i="6"/>
  <c r="C32" i="6"/>
  <c r="C34" i="6"/>
  <c r="C37" i="6"/>
  <c r="C39" i="6"/>
  <c r="C41" i="6"/>
  <c r="C43" i="6"/>
  <c r="B29" i="6"/>
  <c r="C29" i="6"/>
  <c r="D6" i="3"/>
  <c r="D7" i="3"/>
  <c r="D8" i="3"/>
  <c r="D9" i="3"/>
  <c r="D10" i="3"/>
  <c r="D11" i="3"/>
  <c r="D12" i="3"/>
  <c r="D18" i="3"/>
  <c r="D5" i="3"/>
  <c r="C9" i="3"/>
  <c r="C11" i="3"/>
  <c r="C14" i="3"/>
  <c r="C17" i="3"/>
  <c r="C5" i="3"/>
  <c r="D13" i="3"/>
  <c r="D14" i="3"/>
  <c r="D15" i="3"/>
  <c r="D16" i="3"/>
  <c r="D17" i="3"/>
  <c r="D19" i="3"/>
  <c r="C6" i="3"/>
  <c r="C7" i="3"/>
  <c r="C8" i="3"/>
  <c r="C10" i="3"/>
  <c r="C12" i="3"/>
  <c r="C13" i="3"/>
  <c r="C15" i="3"/>
  <c r="C16" i="3"/>
  <c r="C18" i="3"/>
  <c r="C19" i="3"/>
  <c r="C18" i="10" l="1"/>
  <c r="C19" i="10"/>
  <c r="B5" i="9"/>
  <c r="A6" i="9"/>
  <c r="B6" i="9" l="1"/>
  <c r="C5" i="9" s="1"/>
  <c r="A7" i="9"/>
  <c r="B7" i="9" l="1"/>
  <c r="C6" i="9" s="1"/>
  <c r="A8" i="9"/>
  <c r="B8" i="9" l="1"/>
  <c r="C7" i="9" s="1"/>
  <c r="A9" i="9"/>
  <c r="B9" i="9" l="1"/>
  <c r="C8" i="9" s="1"/>
  <c r="A10" i="9"/>
  <c r="B10" i="9" l="1"/>
  <c r="C9" i="9" s="1"/>
  <c r="A11" i="9"/>
  <c r="B11" i="9" l="1"/>
  <c r="C10" i="9" s="1"/>
  <c r="A12" i="9"/>
  <c r="B12" i="9" s="1"/>
  <c r="C12" i="9" l="1"/>
  <c r="C11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<sst xmlns="http://schemas.openxmlformats.org/spreadsheetml/2006/main" count="1607" uniqueCount="369">
  <si>
    <t>SaleID</t>
  </si>
  <si>
    <t>CustomerID</t>
  </si>
  <si>
    <t>CustomerName</t>
  </si>
  <si>
    <t>Region</t>
  </si>
  <si>
    <t>Product</t>
  </si>
  <si>
    <t>Category</t>
  </si>
  <si>
    <t>Sales</t>
  </si>
  <si>
    <t>Cost</t>
  </si>
  <si>
    <t>Discount</t>
  </si>
  <si>
    <t>Profit</t>
  </si>
  <si>
    <t>Date</t>
  </si>
  <si>
    <t>Quantity</t>
  </si>
  <si>
    <t>S001</t>
  </si>
  <si>
    <t>C111</t>
  </si>
  <si>
    <t>Arjun</t>
  </si>
  <si>
    <t>West</t>
  </si>
  <si>
    <t>Laptop</t>
  </si>
  <si>
    <t>Electronics</t>
  </si>
  <si>
    <t>S002</t>
  </si>
  <si>
    <t>C102</t>
  </si>
  <si>
    <t>Priya</t>
  </si>
  <si>
    <t>Keyboard</t>
  </si>
  <si>
    <t>Accessories</t>
  </si>
  <si>
    <t>S003</t>
  </si>
  <si>
    <t>C109</t>
  </si>
  <si>
    <t>Dev</t>
  </si>
  <si>
    <t>S004</t>
  </si>
  <si>
    <t>C104</t>
  </si>
  <si>
    <t>Neha</t>
  </si>
  <si>
    <t>East</t>
  </si>
  <si>
    <t>S005</t>
  </si>
  <si>
    <t>C107</t>
  </si>
  <si>
    <t>Karan</t>
  </si>
  <si>
    <t>North</t>
  </si>
  <si>
    <t>Tablet</t>
  </si>
  <si>
    <t>S006</t>
  </si>
  <si>
    <t>S007</t>
  </si>
  <si>
    <t>C101</t>
  </si>
  <si>
    <t>Rahul</t>
  </si>
  <si>
    <t>S008</t>
  </si>
  <si>
    <t>C105</t>
  </si>
  <si>
    <t>Jay</t>
  </si>
  <si>
    <t>S009</t>
  </si>
  <si>
    <t>Headphones</t>
  </si>
  <si>
    <t>S010</t>
  </si>
  <si>
    <t>Mobile</t>
  </si>
  <si>
    <t>S011</t>
  </si>
  <si>
    <t>C115</t>
  </si>
  <si>
    <t>Vivek</t>
  </si>
  <si>
    <t>S012</t>
  </si>
  <si>
    <t>C108</t>
  </si>
  <si>
    <t>Riya</t>
  </si>
  <si>
    <t>S013</t>
  </si>
  <si>
    <t>C113</t>
  </si>
  <si>
    <t>Rohan</t>
  </si>
  <si>
    <t>S014</t>
  </si>
  <si>
    <t>S015</t>
  </si>
  <si>
    <t>South</t>
  </si>
  <si>
    <t>S016</t>
  </si>
  <si>
    <t>S017</t>
  </si>
  <si>
    <t>S018</t>
  </si>
  <si>
    <t>Monitor</t>
  </si>
  <si>
    <t>S019</t>
  </si>
  <si>
    <t>Mouse</t>
  </si>
  <si>
    <t>S020</t>
  </si>
  <si>
    <t>S021</t>
  </si>
  <si>
    <t>C112</t>
  </si>
  <si>
    <t>Kavya</t>
  </si>
  <si>
    <t>S022</t>
  </si>
  <si>
    <t>S023</t>
  </si>
  <si>
    <t>S024</t>
  </si>
  <si>
    <t>S025</t>
  </si>
  <si>
    <t>S026</t>
  </si>
  <si>
    <t>S027</t>
  </si>
  <si>
    <t>S028</t>
  </si>
  <si>
    <t>S029</t>
  </si>
  <si>
    <t>C110</t>
  </si>
  <si>
    <t>Isha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</si>
  <si>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</si>
  <si>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</si>
  <si>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</si>
  <si>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</si>
  <si>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</si>
  <si>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</si>
  <si>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</si>
  <si>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</si>
  <si>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</si>
  <si>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C114</t>
  </si>
  <si>
    <t>Anjali</t>
  </si>
  <si>
    <t>S039</t>
  </si>
  <si>
    <t>S040</t>
  </si>
  <si>
    <t>S041</t>
  </si>
  <si>
    <t>S042</t>
  </si>
  <si>
    <t>S043</t>
  </si>
  <si>
    <t>S044</t>
  </si>
  <si>
    <t>S045</t>
  </si>
  <si>
    <t>C106</t>
  </si>
  <si>
    <t>Meera</t>
  </si>
  <si>
    <t>S046</t>
  </si>
  <si>
    <t>C103</t>
  </si>
  <si>
    <t>Amit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</si>
  <si>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</si>
  <si>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</si>
  <si>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</si>
  <si>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</si>
  <si>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</si>
  <si>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</si>
  <si>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</si>
  <si>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</si>
  <si>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</si>
  <si>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</si>
  <si>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</si>
  <si>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</si>
  <si>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</si>
  <si>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</si>
  <si>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</si>
  <si>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</si>
  <si>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</si>
  <si>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</si>
  <si>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</si>
  <si>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</si>
  <si>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</si>
  <si>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</si>
  <si>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</si>
  <si>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</si>
  <si>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</si>
  <si>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</si>
  <si>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</si>
  <si>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</si>
  <si>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</si>
  <si>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</si>
  <si>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</si>
  <si>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</si>
  <si>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</si>
  <si>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</si>
  <si>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</si>
  <si>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</si>
  <si>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</si>
  <si>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</si>
  <si>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</si>
  <si>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</si>
  <si>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</si>
  <si>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</si>
  <si>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</si>
  <si>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</si>
  <si>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</si>
  <si>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</si>
  <si>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</si>
  <si>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</si>
  <si>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</si>
  <si>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</si>
  <si>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</si>
  <si>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</si>
  <si>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</si>
  <si>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</si>
  <si>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</si>
  <si>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</si>
  <si>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</si>
  <si>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</si>
  <si>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</si>
  <si>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</si>
  <si>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</si>
  <si>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</si>
  <si>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</si>
  <si>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</si>
  <si>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</si>
  <si>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</si>
  <si>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</si>
  <si>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</si>
  <si>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</si>
  <si>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</si>
  <si>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</si>
  <si>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</si>
  <si>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</si>
  <si>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</si>
  <si>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</si>
  <si>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</si>
  <si>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</si>
  <si>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</si>
  <si>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</si>
  <si>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</si>
  <si>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</si>
  <si>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</si>
  <si>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</si>
  <si>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</si>
  <si>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</si>
  <si>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</si>
  <si>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</si>
  <si>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</si>
  <si>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</si>
  <si>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</si>
  <si>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</si>
  <si>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</si>
  <si>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</si>
  <si>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</si>
  <si>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</si>
  <si>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</si>
  <si>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</si>
  <si>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</si>
  <si>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</si>
  <si>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</si>
  <si>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</si>
  <si>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</si>
  <si>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</si>
  <si>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</si>
  <si>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</si>
  <si>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</si>
  <si>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</si>
  <si>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</si>
  <si>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</si>
  <si>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</si>
  <si>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</si>
  <si>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</si>
  <si>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</si>
  <si>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</si>
  <si>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</si>
  <si>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</si>
  <si>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</si>
  <si>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</si>
  <si>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</si>
  <si>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</si>
  <si>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</si>
  <si>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</si>
  <si>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</si>
  <si>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</si>
  <si>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</si>
  <si>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</si>
  <si>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</si>
  <si>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</si>
  <si>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</si>
  <si>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</si>
  <si>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</si>
  <si>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</si>
  <si>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</si>
  <si>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</si>
  <si>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</si>
  <si>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</si>
  <si>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</si>
  <si>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</si>
  <si>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</si>
  <si>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</si>
  <si>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</si>
  <si>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</si>
  <si>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</si>
  <si>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</si>
  <si>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</si>
  <si>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</si>
  <si>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</si>
  <si>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</si>
  <si>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</si>
  <si>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</si>
  <si>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</si>
  <si>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</si>
  <si>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</si>
  <si>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</si>
  <si>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</si>
  <si>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</si>
  <si>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</si>
  <si>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</si>
  <si>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</si>
  <si>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</si>
  <si>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</si>
  <si>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</si>
  <si>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</si>
  <si>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</si>
  <si>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</si>
  <si>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</si>
  <si>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</si>
  <si>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</si>
  <si>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</si>
  <si>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</si>
  <si>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</si>
  <si>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</si>
  <si>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</si>
  <si>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</si>
  <si>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</si>
  <si>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</si>
  <si>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</si>
  <si>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</si>
  <si>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</si>
  <si>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</si>
  <si>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</si>
  <si>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</si>
  <si>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</si>
  <si>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</si>
  <si>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</si>
  <si>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</si>
  <si>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</si>
  <si>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</si>
  <si>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</si>
  <si>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</si>
  <si>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</si>
  <si>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</si>
  <si>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</si>
  <si>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</si>
  <si>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</si>
  <si>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</si>
  <si>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</si>
  <si>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</si>
  <si>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</si>
  <si>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</si>
  <si>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</si>
  <si>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</si>
  <si>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</si>
  <si>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</si>
  <si>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1.Top 10 Customers – Total Purchase</t>
  </si>
  <si>
    <t>CUSTOMER ID</t>
  </si>
  <si>
    <t>NAME</t>
  </si>
  <si>
    <t>TOTAL PURCHASE</t>
  </si>
  <si>
    <t>DISCOUNT</t>
  </si>
  <si>
    <t>TOTAL PROFIT</t>
  </si>
  <si>
    <t>2.WHAT-IF Analysis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</si>
  <si>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</si>
  <si>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</si>
  <si>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</si>
  <si>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</si>
  <si>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</si>
  <si>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</si>
  <si>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</si>
  <si>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</si>
  <si>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</si>
  <si>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</si>
  <si>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</si>
  <si>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</si>
  <si>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</si>
  <si>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</si>
  <si>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</si>
  <si>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</si>
  <si>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</si>
  <si>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</si>
  <si>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</si>
  <si>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</si>
  <si>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</si>
  <si>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</si>
  <si>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</si>
  <si>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</si>
  <si>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</si>
  <si>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</si>
  <si>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</si>
  <si>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</si>
  <si>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</si>
  <si>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</si>
  <si>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</si>
  <si>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</si>
  <si>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</si>
  <si>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</si>
  <si>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</si>
  <si>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Descriptive Status</t>
  </si>
  <si>
    <t>Total Customer By Total Purchase</t>
  </si>
  <si>
    <t>Customer Name</t>
  </si>
  <si>
    <t>Total Purchase</t>
  </si>
  <si>
    <t>Total Profit</t>
  </si>
  <si>
    <t xml:space="preserve">Monthly Sales Growth </t>
  </si>
  <si>
    <t>Month</t>
  </si>
  <si>
    <t>Total Sales</t>
  </si>
  <si>
    <t>Growth vs Sales Growth</t>
  </si>
  <si>
    <t>High - Value Customers</t>
  </si>
  <si>
    <t>Summary  Output</t>
  </si>
  <si>
    <t xml:space="preserve">Rank </t>
  </si>
  <si>
    <t>Average Purchase</t>
  </si>
  <si>
    <t>Customer Above Overall Purchase Average</t>
  </si>
  <si>
    <t>Row Labels</t>
  </si>
  <si>
    <t>Grand Total</t>
  </si>
  <si>
    <t>Sum of Sales</t>
  </si>
  <si>
    <t>Column Labels</t>
  </si>
  <si>
    <t>Total Sum of Sales</t>
  </si>
  <si>
    <t>Total Sum of Sales2</t>
  </si>
  <si>
    <t>Sum of Sales2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</si>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</sst>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[$$-1009]#,##0.00"/>
    <numFmt numFmtId="166" formatCode="[$$-2809]#,##0.00"/>
    <numFmt numFmtId="168" formatCode="[$-14009]dd\ mmmm\ yyyy;@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 tint="-4.9989318521683403E-2"/>
      <name val="Calibri"/>
      <family val="2"/>
      <scheme val="minor"/>
    </font>
    <font>
      <b/>
      <i/>
      <sz val="11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36"/>
      <color theme="0"/>
      <name val="Bell MT"/>
      <family val="1"/>
    </font>
    <font>
      <b/>
      <sz val="20"/>
      <color theme="0"/>
      <name val="Algerian"/>
      <family val="5"/>
    </font>
    <font>
      <sz val="11"/>
      <color theme="1"/>
      <name val="Arial Black"/>
      <family val="2"/>
    </font>
    <font>
      <b/>
      <sz val="28"/>
      <color theme="0"/>
      <name val="Algerian"/>
      <family val="5"/>
    </font>
    <font>
      <sz val="11"/>
      <color theme="1"/>
      <name val="Calibri"/>
      <family val="2"/>
      <charset val="1"/>
    </font>
    <font>
      <b/>
      <sz val="2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22" fillId="0" borderId="0"/>
  </cellStyleXfs>
  <cellXfs count="128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6" borderId="11" xfId="0" applyFill="1" applyBorder="1"/>
    <xf numFmtId="0" fontId="0" fillId="6" borderId="13" xfId="0" applyFill="1" applyBorder="1"/>
    <xf numFmtId="0" fontId="4" fillId="7" borderId="16" xfId="0" applyFont="1" applyFill="1" applyBorder="1" applyAlignment="1">
      <alignment horizontal="centerContinuous"/>
    </xf>
    <xf numFmtId="0" fontId="4" fillId="7" borderId="17" xfId="0" applyFont="1" applyFill="1" applyBorder="1" applyAlignment="1">
      <alignment horizontal="centerContinuous"/>
    </xf>
    <xf numFmtId="0" fontId="0" fillId="0" borderId="18" xfId="0" applyBorder="1"/>
    <xf numFmtId="0" fontId="0" fillId="0" borderId="19" xfId="0" applyBorder="1"/>
    <xf numFmtId="0" fontId="0" fillId="6" borderId="21" xfId="0" applyFill="1" applyBorder="1"/>
    <xf numFmtId="0" fontId="0" fillId="6" borderId="22" xfId="0" applyFill="1" applyBorder="1"/>
    <xf numFmtId="0" fontId="0" fillId="6" borderId="24" xfId="0" applyFill="1" applyBorder="1"/>
    <xf numFmtId="0" fontId="0" fillId="0" borderId="9" xfId="0" applyBorder="1"/>
    <xf numFmtId="0" fontId="3" fillId="5" borderId="14" xfId="0" applyFont="1" applyFill="1" applyBorder="1"/>
    <xf numFmtId="0" fontId="5" fillId="5" borderId="2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9" fillId="0" borderId="10" xfId="0" applyFont="1" applyBorder="1"/>
    <xf numFmtId="0" fontId="9" fillId="0" borderId="12" xfId="0" applyFont="1" applyBorder="1"/>
    <xf numFmtId="0" fontId="10" fillId="10" borderId="4" xfId="0" applyFont="1" applyFill="1" applyBorder="1"/>
    <xf numFmtId="0" fontId="10" fillId="10" borderId="5" xfId="0" applyFont="1" applyFill="1" applyBorder="1"/>
    <xf numFmtId="0" fontId="10" fillId="10" borderId="6" xfId="0" applyFont="1" applyFill="1" applyBorder="1"/>
    <xf numFmtId="0" fontId="11" fillId="10" borderId="4" xfId="0" applyFont="1" applyFill="1" applyBorder="1"/>
    <xf numFmtId="0" fontId="11" fillId="10" borderId="5" xfId="0" applyFont="1" applyFill="1" applyBorder="1"/>
    <xf numFmtId="0" fontId="11" fillId="10" borderId="6" xfId="0" applyFont="1" applyFill="1" applyBorder="1"/>
    <xf numFmtId="0" fontId="4" fillId="8" borderId="14" xfId="0" applyFont="1" applyFill="1" applyBorder="1" applyAlignment="1">
      <alignment horizontal="centerContinuous"/>
    </xf>
    <xf numFmtId="0" fontId="4" fillId="8" borderId="15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3" fillId="0" borderId="6" xfId="0" applyFont="1" applyBorder="1"/>
    <xf numFmtId="0" fontId="0" fillId="0" borderId="2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0" fillId="10" borderId="20" xfId="0" applyFill="1" applyBorder="1"/>
    <xf numFmtId="165" fontId="0" fillId="0" borderId="2" xfId="0" applyNumberForma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65" fontId="0" fillId="10" borderId="5" xfId="0" applyNumberFormat="1" applyFill="1" applyBorder="1" applyAlignment="1">
      <alignment horizontal="center"/>
    </xf>
    <xf numFmtId="165" fontId="12" fillId="10" borderId="5" xfId="0" applyNumberFormat="1" applyFont="1" applyFill="1" applyBorder="1" applyAlignment="1">
      <alignment horizontal="center"/>
    </xf>
    <xf numFmtId="165" fontId="0" fillId="10" borderId="6" xfId="0" applyNumberFormat="1" applyFill="1" applyBorder="1" applyAlignment="1">
      <alignment horizontal="center"/>
    </xf>
    <xf numFmtId="166" fontId="12" fillId="2" borderId="4" xfId="0" applyNumberFormat="1" applyFon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9" fontId="0" fillId="10" borderId="2" xfId="0" applyNumberFormat="1" applyFill="1" applyBorder="1" applyAlignment="1">
      <alignment horizontal="center"/>
    </xf>
    <xf numFmtId="9" fontId="0" fillId="10" borderId="5" xfId="0" applyNumberFormat="1" applyFill="1" applyBorder="1" applyAlignment="1">
      <alignment horizontal="center"/>
    </xf>
    <xf numFmtId="0" fontId="16" fillId="3" borderId="0" xfId="0" applyFont="1" applyFill="1"/>
    <xf numFmtId="165" fontId="10" fillId="10" borderId="0" xfId="0" applyNumberFormat="1" applyFont="1" applyFill="1" applyBorder="1" applyAlignment="1">
      <alignment horizontal="center" vertical="center"/>
    </xf>
    <xf numFmtId="165" fontId="15" fillId="10" borderId="0" xfId="0" applyNumberFormat="1" applyFont="1" applyFill="1" applyBorder="1" applyAlignment="1">
      <alignment horizontal="center" vertical="center"/>
    </xf>
    <xf numFmtId="165" fontId="10" fillId="10" borderId="3" xfId="0" applyNumberFormat="1" applyFont="1" applyFill="1" applyBorder="1" applyAlignment="1">
      <alignment horizontal="center" vertical="center"/>
    </xf>
    <xf numFmtId="0" fontId="0" fillId="10" borderId="4" xfId="0" applyFill="1" applyBorder="1"/>
    <xf numFmtId="0" fontId="0" fillId="10" borderId="21" xfId="0" applyFill="1" applyBorder="1"/>
    <xf numFmtId="0" fontId="0" fillId="10" borderId="23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24" xfId="0" applyFill="1" applyBorder="1"/>
    <xf numFmtId="168" fontId="0" fillId="0" borderId="0" xfId="0" applyNumberFormat="1"/>
    <xf numFmtId="0" fontId="0" fillId="0" borderId="14" xfId="0" applyBorder="1" applyAlignment="1">
      <alignment horizontal="center" vertical="center"/>
    </xf>
    <xf numFmtId="168" fontId="0" fillId="0" borderId="4" xfId="0" applyNumberFormat="1" applyBorder="1" applyAlignment="1">
      <alignment horizontal="left"/>
    </xf>
    <xf numFmtId="168" fontId="0" fillId="0" borderId="5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0" fontId="14" fillId="5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0" fontId="17" fillId="5" borderId="14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26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9" fillId="5" borderId="25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20" fillId="0" borderId="0" xfId="0" applyFont="1"/>
    <xf numFmtId="0" fontId="21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9" fillId="0" borderId="0" xfId="0" applyFont="1"/>
    <xf numFmtId="0" fontId="23" fillId="5" borderId="0" xfId="0" applyFont="1" applyFill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11" borderId="20" xfId="0" applyNumberFormat="1" applyFill="1" applyBorder="1"/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2" xfId="0" pivotButton="1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</cellXfs>
  <cellStyles count="2">
    <cellStyle name="Normal" xfId="0" builtinId="0"/>
    <cellStyle name="Normal 2" xfId="1" xr:uid="{6AAB1BA4-6551-42D5-AB32-DD299312DDFE}"/>
  </cellStyles>
  <dxfs count="51">
    <dxf>
      <alignment vertical="center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numFmt numFmtId="165" formatCode="[$$-1009]#,##0.00"/>
    </dxf>
    <dxf>
      <numFmt numFmtId="164" formatCode="dd\-mmm\-yyyy"/>
    </dxf>
    <dxf>
      <numFmt numFmtId="4" formatCode="#,##0.00"/>
    </dxf>
    <dxf>
      <numFmt numFmtId="4" formatCode="#,##0.0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[ANALYZER.xlsx]Pivot Table!PivotTable3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64909348654252"/>
          <c:y val="7.885538496375874E-2"/>
          <c:w val="0.63642826145614562"/>
          <c:h val="0.80629074797817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Table'!$B$1:$B$3</c:f>
              <c:strCache>
                <c:ptCount val="1"/>
                <c:pt idx="0">
                  <c:v>Headphones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D-44A0-81FE-2FB25D36C610}"/>
            </c:ext>
          </c:extLst>
        </c:ser>
        <c:ser>
          <c:idx val="1"/>
          <c:order val="1"/>
          <c:tx>
            <c:strRef>
              <c:f>'Pivot Table'!$C$1:$C$3</c:f>
              <c:strCache>
                <c:ptCount val="1"/>
                <c:pt idx="0">
                  <c:v>Headphones - 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Table'!$C$4:$C$8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D-44A0-81FE-2FB25D36C610}"/>
            </c:ext>
          </c:extLst>
        </c:ser>
        <c:ser>
          <c:idx val="2"/>
          <c:order val="2"/>
          <c:tx>
            <c:strRef>
              <c:f>'Pivot Table'!$D$1:$D$3</c:f>
              <c:strCache>
                <c:ptCount val="1"/>
                <c:pt idx="0">
                  <c:v>Keyboard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Table'!$D$4:$D$8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9D-44A0-81FE-2FB25D36C610}"/>
            </c:ext>
          </c:extLst>
        </c:ser>
        <c:ser>
          <c:idx val="3"/>
          <c:order val="3"/>
          <c:tx>
            <c:strRef>
              <c:f>'Pivot Table'!$E$1:$E$3</c:f>
              <c:strCache>
                <c:ptCount val="1"/>
                <c:pt idx="0">
                  <c:v>Keyboard - Sum of Sales2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Table'!$E$4:$E$8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9D-44A0-81FE-2FB25D36C610}"/>
            </c:ext>
          </c:extLst>
        </c:ser>
        <c:ser>
          <c:idx val="4"/>
          <c:order val="4"/>
          <c:tx>
            <c:strRef>
              <c:f>'Pivot Table'!$F$1:$F$3</c:f>
              <c:strCache>
                <c:ptCount val="1"/>
                <c:pt idx="0">
                  <c:v>Laptop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Table'!$F$4:$F$8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9D-44A0-81FE-2FB25D36C610}"/>
            </c:ext>
          </c:extLst>
        </c:ser>
        <c:ser>
          <c:idx val="5"/>
          <c:order val="5"/>
          <c:tx>
            <c:strRef>
              <c:f>'Pivot Table'!$G$1:$G$3</c:f>
              <c:strCache>
                <c:ptCount val="1"/>
                <c:pt idx="0">
                  <c:v>Laptop - Sum of Sales2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Table'!$G$4:$G$8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9D-44A0-81FE-2FB25D36C610}"/>
            </c:ext>
          </c:extLst>
        </c:ser>
        <c:ser>
          <c:idx val="6"/>
          <c:order val="6"/>
          <c:tx>
            <c:strRef>
              <c:f>'Pivot Table'!$H$1:$H$3</c:f>
              <c:strCache>
                <c:ptCount val="1"/>
                <c:pt idx="0">
                  <c:v>Mobile - Sum of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Table'!$H$4:$H$8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9D-44A0-81FE-2FB25D36C610}"/>
            </c:ext>
          </c:extLst>
        </c:ser>
        <c:ser>
          <c:idx val="7"/>
          <c:order val="7"/>
          <c:tx>
            <c:strRef>
              <c:f>'Pivot Table'!$I$1:$I$3</c:f>
              <c:strCache>
                <c:ptCount val="1"/>
                <c:pt idx="0">
                  <c:v>Mobile - Sum of Sales2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Table'!$I$4:$I$8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9D-44A0-81FE-2FB25D36C610}"/>
            </c:ext>
          </c:extLst>
        </c:ser>
        <c:ser>
          <c:idx val="8"/>
          <c:order val="8"/>
          <c:tx>
            <c:strRef>
              <c:f>'Pivot Table'!$J$1:$J$3</c:f>
              <c:strCache>
                <c:ptCount val="1"/>
                <c:pt idx="0">
                  <c:v>Monitor - Sum of 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Table'!$J$4:$J$8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9D-44A0-81FE-2FB25D36C610}"/>
            </c:ext>
          </c:extLst>
        </c:ser>
        <c:ser>
          <c:idx val="9"/>
          <c:order val="9"/>
          <c:tx>
            <c:strRef>
              <c:f>'Pivot Table'!$K$1:$K$3</c:f>
              <c:strCache>
                <c:ptCount val="1"/>
                <c:pt idx="0">
                  <c:v>Monitor - Sum of Sales2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Table'!$K$4:$K$8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9D-44A0-81FE-2FB25D36C610}"/>
            </c:ext>
          </c:extLst>
        </c:ser>
        <c:ser>
          <c:idx val="10"/>
          <c:order val="10"/>
          <c:tx>
            <c:strRef>
              <c:f>'Pivot Table'!$L$1:$L$3</c:f>
              <c:strCache>
                <c:ptCount val="1"/>
                <c:pt idx="0">
                  <c:v>Mouse - Sum of Sales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Table'!$L$4:$L$8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9D-44A0-81FE-2FB25D36C610}"/>
            </c:ext>
          </c:extLst>
        </c:ser>
        <c:ser>
          <c:idx val="11"/>
          <c:order val="11"/>
          <c:tx>
            <c:strRef>
              <c:f>'Pivot Table'!$M$1:$M$3</c:f>
              <c:strCache>
                <c:ptCount val="1"/>
                <c:pt idx="0">
                  <c:v>Mouse - Sum of Sales2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Table'!$M$4:$M$8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9D-44A0-81FE-2FB25D36C610}"/>
            </c:ext>
          </c:extLst>
        </c:ser>
        <c:ser>
          <c:idx val="12"/>
          <c:order val="12"/>
          <c:tx>
            <c:strRef>
              <c:f>'Pivot Table'!$N$1:$N$3</c:f>
              <c:strCache>
                <c:ptCount val="1"/>
                <c:pt idx="0">
                  <c:v>Tablet - Sum of Sales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Table'!$N$4:$N$8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9D-44A0-81FE-2FB25D36C610}"/>
            </c:ext>
          </c:extLst>
        </c:ser>
        <c:ser>
          <c:idx val="13"/>
          <c:order val="13"/>
          <c:tx>
            <c:strRef>
              <c:f>'Pivot Table'!$O$1:$O$3</c:f>
              <c:strCache>
                <c:ptCount val="1"/>
                <c:pt idx="0">
                  <c:v>Tablet - Sum of Sales2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Table'!$O$4:$O$8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9D-44A0-81FE-2FB25D36C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33632"/>
        <c:axId val="1846917616"/>
      </c:barChart>
      <c:catAx>
        <c:axId val="185073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917616"/>
        <c:crosses val="autoZero"/>
        <c:auto val="1"/>
        <c:lblAlgn val="ctr"/>
        <c:lblOffset val="100"/>
        <c:noMultiLvlLbl val="0"/>
      </c:catAx>
      <c:valAx>
        <c:axId val="18469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3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51306795785726"/>
          <c:y val="8.3807908988252341E-2"/>
          <c:w val="0.19101190098716891"/>
          <c:h val="0.82946159222232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 VS DISCOUNT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68817495651741"/>
          <c:y val="0.10728199941517146"/>
          <c:w val="0.85186337255629496"/>
          <c:h val="0.78238388578559426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Analysis!$H$4</c:f>
              <c:strCache>
                <c:ptCount val="1"/>
                <c:pt idx="0">
                  <c:v>TOTAL PROFIT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xVal>
            <c:numRef>
              <c:f>Analysis!$G$5:$G$19</c:f>
              <c:numCache>
                <c:formatCode>0%</c:formatCode>
                <c:ptCount val="1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</c:numCache>
            </c:numRef>
          </c:xVal>
          <c:yVal>
            <c:numRef>
              <c:f>Analysis!$H$5:$H$19</c:f>
              <c:numCache>
                <c:formatCode>[$$-2809]#,##0.00</c:formatCode>
                <c:ptCount val="15"/>
                <c:pt idx="0">
                  <c:v>3836093</c:v>
                </c:pt>
                <c:pt idx="1">
                  <c:v>3794536</c:v>
                </c:pt>
                <c:pt idx="2">
                  <c:v>3764750</c:v>
                </c:pt>
                <c:pt idx="3">
                  <c:v>3758744</c:v>
                </c:pt>
                <c:pt idx="4">
                  <c:v>3751915</c:v>
                </c:pt>
                <c:pt idx="5">
                  <c:v>3742545</c:v>
                </c:pt>
                <c:pt idx="6">
                  <c:v>3734560</c:v>
                </c:pt>
                <c:pt idx="7">
                  <c:v>3732692</c:v>
                </c:pt>
                <c:pt idx="8">
                  <c:v>3726751</c:v>
                </c:pt>
                <c:pt idx="9">
                  <c:v>3721818</c:v>
                </c:pt>
                <c:pt idx="10">
                  <c:v>3702771</c:v>
                </c:pt>
                <c:pt idx="11">
                  <c:v>3663263</c:v>
                </c:pt>
                <c:pt idx="12">
                  <c:v>3643030</c:v>
                </c:pt>
                <c:pt idx="13">
                  <c:v>3642183</c:v>
                </c:pt>
                <c:pt idx="14">
                  <c:v>3614135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7E-4551-929D-7D7B7316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061632"/>
        <c:axId val="941533264"/>
      </c:scatterChart>
      <c:valAx>
        <c:axId val="118906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941533264"/>
        <c:crosses val="autoZero"/>
        <c:crossBetween val="midCat"/>
      </c:valAx>
      <c:valAx>
        <c:axId val="941533264"/>
        <c:scaling>
          <c:orientation val="minMax"/>
        </c:scaling>
        <c:delete val="0"/>
        <c:axPos val="l"/>
        <c:majorGridlines>
          <c:spPr>
            <a:ln w="9525" cap="sq" cmpd="sng" algn="ctr">
              <a:solidFill>
                <a:schemeClr val="lt1">
                  <a:lumMod val="95000"/>
                  <a:alpha val="10000"/>
                </a:schemeClr>
              </a:solidFill>
              <a:prstDash val="sysDot"/>
              <a:round/>
            </a:ln>
            <a:effectLst/>
          </c:spPr>
        </c:majorGridlines>
        <c:numFmt formatCode="[$$-2809]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61632"/>
        <c:crosses val="autoZero"/>
        <c:crossBetween val="midCat"/>
      </c:valAx>
      <c:spPr>
        <a:gradFill>
          <a:gsLst>
            <a:gs pos="2797">
              <a:schemeClr val="accent2">
                <a:lumMod val="40000"/>
                <a:lumOff val="60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[ANALYZER.xlsx]Pivot Table!PivotTable3</c:name>
    <c:fmtId val="17"/>
  </c:pivotSource>
  <c:chart>
    <c:title>
      <c:layout>
        <c:manualLayout>
          <c:xMode val="edge"/>
          <c:yMode val="edge"/>
          <c:x val="0.23315560997979418"/>
          <c:y val="8.6439256636157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2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3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0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1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lumMod val="80000"/>
                      <a:lumOff val="2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lumMod val="80000"/>
                      <a:lumOff val="2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5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lumMod val="6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>
                      <a:lumMod val="80000"/>
                      <a:lumOff val="2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>
                      <a:lumMod val="80000"/>
                      <a:lumOff val="2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9476903620928882E-2"/>
          <c:y val="0.21932412897480358"/>
          <c:w val="0.89155924051457636"/>
          <c:h val="0.66413944248744095"/>
        </c:manualLayout>
      </c:layout>
      <c:pie3DChart>
        <c:varyColors val="1"/>
        <c:ser>
          <c:idx val="0"/>
          <c:order val="0"/>
          <c:tx>
            <c:strRef>
              <c:f>'Pivot Table'!$B$1:$B$3</c:f>
              <c:strCache>
                <c:ptCount val="1"/>
                <c:pt idx="0">
                  <c:v>Headphones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601-4C89-8685-2C8D72FF5E2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01-4C89-8685-2C8D72FF5E22}"/>
            </c:ext>
          </c:extLst>
        </c:ser>
        <c:ser>
          <c:idx val="1"/>
          <c:order val="1"/>
          <c:tx>
            <c:strRef>
              <c:f>'Pivot Table'!$C$1:$C$3</c:f>
              <c:strCache>
                <c:ptCount val="1"/>
                <c:pt idx="0">
                  <c:v>Headphones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Table'!$C$4:$C$8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601-4C89-8685-2C8D72FF5E22}"/>
            </c:ext>
          </c:extLst>
        </c:ser>
        <c:ser>
          <c:idx val="2"/>
          <c:order val="2"/>
          <c:tx>
            <c:strRef>
              <c:f>'Pivot Table'!$D$1:$D$3</c:f>
              <c:strCache>
                <c:ptCount val="1"/>
                <c:pt idx="0">
                  <c:v>Keyboard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Table'!$D$4:$D$8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601-4C89-8685-2C8D72FF5E22}"/>
            </c:ext>
          </c:extLst>
        </c:ser>
        <c:ser>
          <c:idx val="3"/>
          <c:order val="3"/>
          <c:tx>
            <c:strRef>
              <c:f>'Pivot Table'!$E$1:$E$3</c:f>
              <c:strCache>
                <c:ptCount val="1"/>
                <c:pt idx="0">
                  <c:v>Keyboard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2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Table'!$E$4:$E$8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601-4C89-8685-2C8D72FF5E22}"/>
            </c:ext>
          </c:extLst>
        </c:ser>
        <c:ser>
          <c:idx val="4"/>
          <c:order val="4"/>
          <c:tx>
            <c:strRef>
              <c:f>'Pivot Table'!$F$1:$F$3</c:f>
              <c:strCache>
                <c:ptCount val="1"/>
                <c:pt idx="0">
                  <c:v>Laptop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Table'!$F$4:$F$8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601-4C89-8685-2C8D72FF5E22}"/>
            </c:ext>
          </c:extLst>
        </c:ser>
        <c:ser>
          <c:idx val="5"/>
          <c:order val="5"/>
          <c:tx>
            <c:strRef>
              <c:f>'Pivot Table'!$G$1:$G$3</c:f>
              <c:strCache>
                <c:ptCount val="1"/>
                <c:pt idx="0">
                  <c:v>Laptop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E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0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2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4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E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0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2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4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Table'!$G$4:$G$8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601-4C89-8685-2C8D72FF5E22}"/>
            </c:ext>
          </c:extLst>
        </c:ser>
        <c:ser>
          <c:idx val="6"/>
          <c:order val="6"/>
          <c:tx>
            <c:strRef>
              <c:f>'Pivot Table'!$H$1:$H$3</c:f>
              <c:strCache>
                <c:ptCount val="1"/>
                <c:pt idx="0">
                  <c:v>Mobile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Table'!$H$4:$H$8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601-4C89-8685-2C8D72FF5E22}"/>
            </c:ext>
          </c:extLst>
        </c:ser>
        <c:ser>
          <c:idx val="7"/>
          <c:order val="7"/>
          <c:tx>
            <c:strRef>
              <c:f>'Pivot Table'!$I$1:$I$3</c:f>
              <c:strCache>
                <c:ptCount val="1"/>
                <c:pt idx="0">
                  <c:v>Mobile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0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2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4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6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0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2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4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6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Table'!$I$4:$I$8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601-4C89-8685-2C8D72FF5E22}"/>
            </c:ext>
          </c:extLst>
        </c:ser>
        <c:ser>
          <c:idx val="8"/>
          <c:order val="8"/>
          <c:tx>
            <c:strRef>
              <c:f>'Pivot Table'!$J$1:$J$3</c:f>
              <c:strCache>
                <c:ptCount val="1"/>
                <c:pt idx="0">
                  <c:v>Monitor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9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B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D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F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9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B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D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F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Table'!$J$4:$J$8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601-4C89-8685-2C8D72FF5E22}"/>
            </c:ext>
          </c:extLst>
        </c:ser>
        <c:ser>
          <c:idx val="9"/>
          <c:order val="9"/>
          <c:tx>
            <c:strRef>
              <c:f>'Pivot Table'!$K$1:$K$3</c:f>
              <c:strCache>
                <c:ptCount val="1"/>
                <c:pt idx="0">
                  <c:v>Monitor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2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4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6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8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2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4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6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8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Table'!$K$4:$K$8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4601-4C89-8685-2C8D72FF5E22}"/>
            </c:ext>
          </c:extLst>
        </c:ser>
        <c:ser>
          <c:idx val="10"/>
          <c:order val="10"/>
          <c:tx>
            <c:strRef>
              <c:f>'Pivot Table'!$L$1:$L$3</c:f>
              <c:strCache>
                <c:ptCount val="1"/>
                <c:pt idx="0">
                  <c:v>Mouse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B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D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F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1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B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D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F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1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5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Table'!$L$4:$L$8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4601-4C89-8685-2C8D72FF5E22}"/>
            </c:ext>
          </c:extLst>
        </c:ser>
        <c:ser>
          <c:idx val="11"/>
          <c:order val="11"/>
          <c:tx>
            <c:strRef>
              <c:f>'Pivot Table'!$M$1:$M$3</c:f>
              <c:strCache>
                <c:ptCount val="1"/>
                <c:pt idx="0">
                  <c:v>Mouse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4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6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8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A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4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6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8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A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Table'!$M$4:$M$8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4601-4C89-8685-2C8D72FF5E22}"/>
            </c:ext>
          </c:extLst>
        </c:ser>
        <c:ser>
          <c:idx val="12"/>
          <c:order val="12"/>
          <c:tx>
            <c:strRef>
              <c:f>'Pivot Table'!$N$1:$N$3</c:f>
              <c:strCache>
                <c:ptCount val="1"/>
                <c:pt idx="0">
                  <c:v>Tablet - 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D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F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1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3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D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F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1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3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Table'!$N$4:$N$8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601-4C89-8685-2C8D72FF5E22}"/>
            </c:ext>
          </c:extLst>
        </c:ser>
        <c:ser>
          <c:idx val="13"/>
          <c:order val="13"/>
          <c:tx>
            <c:strRef>
              <c:f>'Pivot Table'!$O$1:$O$3</c:f>
              <c:strCache>
                <c:ptCount val="1"/>
                <c:pt idx="0">
                  <c:v>Tablet - 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6-4601-4C89-8685-2C8D72FF5E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8-4601-4C89-8685-2C8D72FF5E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A-4601-4C89-8685-2C8D72FF5E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C-4601-4C89-8685-2C8D72FF5E2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6-4601-4C89-8685-2C8D72FF5E2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8-4601-4C89-8685-2C8D72FF5E2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A-4601-4C89-8685-2C8D72FF5E2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C-4601-4C89-8685-2C8D72FF5E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>
                        <a:lumMod val="80000"/>
                        <a:lumOff val="2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Table'!$O$4:$O$8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4601-4C89-8685-2C8D72FF5E2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[ANALYZER.xlsx]Pivot Table!PivotTable3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516078719326751"/>
          <c:y val="0.10693100862392201"/>
          <c:w val="0.43031847581552307"/>
          <c:h val="0.7170359955005624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Table'!$B$1:$B$3</c:f>
              <c:strCache>
                <c:ptCount val="1"/>
                <c:pt idx="0">
                  <c:v>Headphones - 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E-43DB-BFDF-D8F86A49BC3F}"/>
            </c:ext>
          </c:extLst>
        </c:ser>
        <c:ser>
          <c:idx val="1"/>
          <c:order val="1"/>
          <c:tx>
            <c:strRef>
              <c:f>'Pivot Table'!$C$1:$C$3</c:f>
              <c:strCache>
                <c:ptCount val="1"/>
                <c:pt idx="0">
                  <c:v>Headphones - 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Table'!$C$4:$C$8</c:f>
              <c:numCache>
                <c:formatCode>[$$-1009]#,##0.00</c:formatCode>
                <c:ptCount val="4"/>
                <c:pt idx="0">
                  <c:v>411805</c:v>
                </c:pt>
                <c:pt idx="1">
                  <c:v>772409</c:v>
                </c:pt>
                <c:pt idx="2">
                  <c:v>633986</c:v>
                </c:pt>
                <c:pt idx="3">
                  <c:v>428373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E-43DB-BFDF-D8F86A49BC3F}"/>
            </c:ext>
          </c:extLst>
        </c:ser>
        <c:ser>
          <c:idx val="2"/>
          <c:order val="2"/>
          <c:tx>
            <c:strRef>
              <c:f>'Pivot Table'!$D$1:$D$3</c:f>
              <c:strCache>
                <c:ptCount val="1"/>
                <c:pt idx="0">
                  <c:v>Keyboard - 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Table'!$D$4:$D$8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E-43DB-BFDF-D8F86A49BC3F}"/>
            </c:ext>
          </c:extLst>
        </c:ser>
        <c:ser>
          <c:idx val="3"/>
          <c:order val="3"/>
          <c:tx>
            <c:strRef>
              <c:f>'Pivot Table'!$E$1:$E$3</c:f>
              <c:strCache>
                <c:ptCount val="1"/>
                <c:pt idx="0">
                  <c:v>Keyboard - Sum of Sales2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Table'!$E$4:$E$8</c:f>
              <c:numCache>
                <c:formatCode>[$$-1009]#,##0.00</c:formatCode>
                <c:ptCount val="4"/>
                <c:pt idx="0">
                  <c:v>364400</c:v>
                </c:pt>
                <c:pt idx="1">
                  <c:v>621174</c:v>
                </c:pt>
                <c:pt idx="2">
                  <c:v>407872</c:v>
                </c:pt>
                <c:pt idx="3">
                  <c:v>598822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8E-43DB-BFDF-D8F86A49BC3F}"/>
            </c:ext>
          </c:extLst>
        </c:ser>
        <c:ser>
          <c:idx val="4"/>
          <c:order val="4"/>
          <c:tx>
            <c:strRef>
              <c:f>'Pivot Table'!$F$1:$F$3</c:f>
              <c:strCache>
                <c:ptCount val="1"/>
                <c:pt idx="0">
                  <c:v>Laptop - Sum of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Table'!$F$4:$F$8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E-43DB-BFDF-D8F86A49BC3F}"/>
            </c:ext>
          </c:extLst>
        </c:ser>
        <c:ser>
          <c:idx val="5"/>
          <c:order val="5"/>
          <c:tx>
            <c:strRef>
              <c:f>'Pivot Table'!$G$1:$G$3</c:f>
              <c:strCache>
                <c:ptCount val="1"/>
                <c:pt idx="0">
                  <c:v>Laptop - Sum of Sales2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Table'!$G$4:$G$8</c:f>
              <c:numCache>
                <c:formatCode>[$$-1009]#,##0.00</c:formatCode>
                <c:ptCount val="4"/>
                <c:pt idx="0">
                  <c:v>477709</c:v>
                </c:pt>
                <c:pt idx="1">
                  <c:v>462328</c:v>
                </c:pt>
                <c:pt idx="2">
                  <c:v>311823</c:v>
                </c:pt>
                <c:pt idx="3">
                  <c:v>284417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E-43DB-BFDF-D8F86A49BC3F}"/>
            </c:ext>
          </c:extLst>
        </c:ser>
        <c:ser>
          <c:idx val="6"/>
          <c:order val="6"/>
          <c:tx>
            <c:strRef>
              <c:f>'Pivot Table'!$H$1:$H$3</c:f>
              <c:strCache>
                <c:ptCount val="1"/>
                <c:pt idx="0">
                  <c:v>Mobile - Sum of Sales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Table'!$H$4:$H$8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8E-43DB-BFDF-D8F86A49BC3F}"/>
            </c:ext>
          </c:extLst>
        </c:ser>
        <c:ser>
          <c:idx val="7"/>
          <c:order val="7"/>
          <c:tx>
            <c:strRef>
              <c:f>'Pivot Table'!$I$1:$I$3</c:f>
              <c:strCache>
                <c:ptCount val="1"/>
                <c:pt idx="0">
                  <c:v>Mobile - Sum of Sales2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Table'!$I$4:$I$8</c:f>
              <c:numCache>
                <c:formatCode>[$$-1009]#,##0.00</c:formatCode>
                <c:ptCount val="4"/>
                <c:pt idx="0">
                  <c:v>206776</c:v>
                </c:pt>
                <c:pt idx="1">
                  <c:v>425728</c:v>
                </c:pt>
                <c:pt idx="2">
                  <c:v>531009</c:v>
                </c:pt>
                <c:pt idx="3">
                  <c:v>291187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8E-43DB-BFDF-D8F86A49BC3F}"/>
            </c:ext>
          </c:extLst>
        </c:ser>
        <c:ser>
          <c:idx val="8"/>
          <c:order val="8"/>
          <c:tx>
            <c:strRef>
              <c:f>'Pivot Table'!$J$1:$J$3</c:f>
              <c:strCache>
                <c:ptCount val="1"/>
                <c:pt idx="0">
                  <c:v>Monitor - Sum of 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Table'!$J$4:$J$8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8E-43DB-BFDF-D8F86A49BC3F}"/>
            </c:ext>
          </c:extLst>
        </c:ser>
        <c:ser>
          <c:idx val="9"/>
          <c:order val="9"/>
          <c:tx>
            <c:strRef>
              <c:f>'Pivot Table'!$K$1:$K$3</c:f>
              <c:strCache>
                <c:ptCount val="1"/>
                <c:pt idx="0">
                  <c:v>Monitor - Sum of Sales2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Table'!$K$4:$K$8</c:f>
              <c:numCache>
                <c:formatCode>[$$-1009]#,##0.00</c:formatCode>
                <c:ptCount val="4"/>
                <c:pt idx="0">
                  <c:v>465474</c:v>
                </c:pt>
                <c:pt idx="1">
                  <c:v>459829</c:v>
                </c:pt>
                <c:pt idx="2">
                  <c:v>621677</c:v>
                </c:pt>
                <c:pt idx="3">
                  <c:v>343668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C8E-43DB-BFDF-D8F86A49BC3F}"/>
            </c:ext>
          </c:extLst>
        </c:ser>
        <c:ser>
          <c:idx val="10"/>
          <c:order val="10"/>
          <c:tx>
            <c:strRef>
              <c:f>'Pivot Table'!$L$1:$L$3</c:f>
              <c:strCache>
                <c:ptCount val="1"/>
                <c:pt idx="0">
                  <c:v>Mouse - Sum of Sales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Table'!$L$4:$L$8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8E-43DB-BFDF-D8F86A49BC3F}"/>
            </c:ext>
          </c:extLst>
        </c:ser>
        <c:ser>
          <c:idx val="11"/>
          <c:order val="11"/>
          <c:tx>
            <c:strRef>
              <c:f>'Pivot Table'!$M$1:$M$3</c:f>
              <c:strCache>
                <c:ptCount val="1"/>
                <c:pt idx="0">
                  <c:v>Mouse - Sum of Sales2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Table'!$M$4:$M$8</c:f>
              <c:numCache>
                <c:formatCode>[$$-1009]#,##0.00</c:formatCode>
                <c:ptCount val="4"/>
                <c:pt idx="0">
                  <c:v>418610</c:v>
                </c:pt>
                <c:pt idx="1">
                  <c:v>171692</c:v>
                </c:pt>
                <c:pt idx="2">
                  <c:v>479061</c:v>
                </c:pt>
                <c:pt idx="3">
                  <c:v>425052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8E-43DB-BFDF-D8F86A49BC3F}"/>
            </c:ext>
          </c:extLst>
        </c:ser>
        <c:ser>
          <c:idx val="12"/>
          <c:order val="12"/>
          <c:tx>
            <c:strRef>
              <c:f>'Pivot Table'!$N$1:$N$3</c:f>
              <c:strCache>
                <c:ptCount val="1"/>
                <c:pt idx="0">
                  <c:v>Tablet - Sum of Sales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Table'!$N$4:$N$8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8E-43DB-BFDF-D8F86A49BC3F}"/>
            </c:ext>
          </c:extLst>
        </c:ser>
        <c:ser>
          <c:idx val="13"/>
          <c:order val="13"/>
          <c:tx>
            <c:strRef>
              <c:f>'Pivot Table'!$O$1:$O$3</c:f>
              <c:strCache>
                <c:ptCount val="1"/>
                <c:pt idx="0">
                  <c:v>Tablet - Sum of Sales2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Table'!$O$4:$O$8</c:f>
              <c:numCache>
                <c:formatCode>[$$-1009]#,##0.00</c:formatCode>
                <c:ptCount val="4"/>
                <c:pt idx="0">
                  <c:v>765125</c:v>
                </c:pt>
                <c:pt idx="1">
                  <c:v>259895</c:v>
                </c:pt>
                <c:pt idx="2">
                  <c:v>242195</c:v>
                </c:pt>
                <c:pt idx="3">
                  <c:v>235465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C8E-43DB-BFDF-D8F86A49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114816"/>
        <c:axId val="1946907376"/>
        <c:axId val="139444512"/>
      </c:bar3DChart>
      <c:catAx>
        <c:axId val="14811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07376"/>
        <c:crosses val="autoZero"/>
        <c:auto val="1"/>
        <c:lblAlgn val="ctr"/>
        <c:lblOffset val="100"/>
        <c:noMultiLvlLbl val="0"/>
      </c:catAx>
      <c:valAx>
        <c:axId val="19469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10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4816"/>
        <c:crosses val="autoZero"/>
        <c:crossBetween val="between"/>
      </c:valAx>
      <c:serAx>
        <c:axId val="13944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07376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18181581468978"/>
          <c:y val="4.9969300712410965E-2"/>
          <c:w val="0.24092079635878846"/>
          <c:h val="0.882598659542557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12</xdr:col>
      <xdr:colOff>102973</xdr:colOff>
      <xdr:row>26</xdr:row>
      <xdr:rowOff>175054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517A8-35A0-4C69-81B2-9E9522C00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308043</xdr:colOff>
      <xdr:row>2</xdr:row>
      <xdr:rowOff>81064</xdr:rowOff>
    </xdr:from>
    <xdr:to>
      <xdr:col>25</xdr:col>
      <xdr:colOff>599872</xdr:colOff>
      <xdr:row>26</xdr:row>
      <xdr:rowOff>123567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1752A4-7227-4C1B-806F-A1209F2C1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30480</xdr:rowOff>
    </xdr:from>
    <xdr:to>
      <xdr:col>12</xdr:col>
      <xdr:colOff>60960</xdr:colOff>
      <xdr:row>53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238C4-2742-4EA0-A55B-923D30879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320040</xdr:colOff>
      <xdr:row>29</xdr:row>
      <xdr:rowOff>106680</xdr:rowOff>
    </xdr:from>
    <xdr:to>
      <xdr:col>26</xdr:col>
      <xdr:colOff>76200</xdr:colOff>
      <xdr:row>52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CFFAD3-BA82-48C0-A309-C7FB3BE55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na" refreshedDate="46277.976090972224" createdVersion="8" refreshedVersion="8" minRefreshableVersion="3" recordCount="250" xr:uid="{3AA7BCA2-DA69-4616-9A66-209901B3FB51}">
  <cacheSource type="worksheet">
    <worksheetSource name="Table1"/>
  </cacheSource>
  <cacheFields count="12">
    <cacheField name="SaleID" numFmtId="0">
      <sharedItems/>
    </cacheField>
    <cacheField name="CustomerID" numFmtId="0">
      <sharedItems/>
    </cacheField>
    <cacheField name="CustomerNam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Product" numFmtId="0">
      <sharedItems count="7">
        <s v="Laptop"/>
        <s v="Keyboard"/>
        <s v="Tablet"/>
        <s v="Headphones"/>
        <s v="Mobile"/>
        <s v="Monitor"/>
        <s v="Mouse"/>
      </sharedItems>
    </cacheField>
    <cacheField name="Category" numFmtId="0">
      <sharedItems/>
    </cacheField>
    <cacheField name="Sales" numFmtId="4">
      <sharedItems containsSemiMixedTypes="0" containsString="0" containsNumber="1" containsInteger="1" minValue="636" maxValue="99186"/>
    </cacheField>
    <cacheField name="Cost" numFmtId="4">
      <sharedItems containsSemiMixedTypes="0" containsString="0" containsNumber="1" containsInteger="1" minValue="367" maxValue="80522"/>
    </cacheField>
    <cacheField name="Discount" numFmtId="0">
      <sharedItems containsSemiMixedTypes="0" containsString="0" containsNumber="1" containsInteger="1" minValue="0" maxValue="30"/>
    </cacheField>
    <cacheField name="Profit" numFmtId="4">
      <sharedItems containsSemiMixedTypes="0" containsString="0" containsNumber="1" minValue="-8205.7000000000007" maxValue="36186.97"/>
    </cacheField>
    <cacheField name="Date" numFmtId="164">
      <sharedItems containsSemiMixedTypes="0" containsNonDate="0" containsDate="1" containsString="0" minDate="2026-01-02T00:00:00" maxDate="2026-09-08T00:00:00"/>
    </cacheField>
    <cacheField name="Quanti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S001"/>
    <s v="C111"/>
    <s v="Arjun"/>
    <x v="0"/>
    <x v="0"/>
    <s v="Electronics"/>
    <n v="97496"/>
    <n v="55939"/>
    <n v="7"/>
    <n v="34732.28"/>
    <d v="2026-07-09T00:00:00"/>
    <n v="3"/>
  </r>
  <r>
    <s v="S002"/>
    <s v="C102"/>
    <s v="Priya"/>
    <x v="0"/>
    <x v="1"/>
    <s v="Accessories"/>
    <n v="55602"/>
    <n v="25816"/>
    <n v="2"/>
    <n v="28673.96"/>
    <d v="2026-03-02T00:00:00"/>
    <n v="4"/>
  </r>
  <r>
    <s v="S003"/>
    <s v="C109"/>
    <s v="Dev"/>
    <x v="0"/>
    <x v="1"/>
    <s v="Accessories"/>
    <n v="26362"/>
    <n v="20356"/>
    <n v="22"/>
    <n v="206.36"/>
    <d v="2026-04-19T00:00:00"/>
    <n v="9"/>
  </r>
  <r>
    <s v="S004"/>
    <s v="C104"/>
    <s v="Neha"/>
    <x v="1"/>
    <x v="1"/>
    <s v="Accessories"/>
    <n v="36763"/>
    <n v="29934"/>
    <n v="0"/>
    <n v="6829"/>
    <d v="2026-06-29T00:00:00"/>
    <n v="3"/>
  </r>
  <r>
    <s v="S005"/>
    <s v="C107"/>
    <s v="Karan"/>
    <x v="2"/>
    <x v="2"/>
    <s v="Electronics"/>
    <n v="20679"/>
    <n v="11309"/>
    <n v="24"/>
    <n v="4407.04"/>
    <d v="2026-01-28T00:00:00"/>
    <n v="6"/>
  </r>
  <r>
    <s v="S006"/>
    <s v="C102"/>
    <s v="Priya"/>
    <x v="1"/>
    <x v="0"/>
    <s v="Electronics"/>
    <n v="47352"/>
    <n v="39367"/>
    <n v="19"/>
    <n v="-1011.88"/>
    <d v="2026-07-27T00:00:00"/>
    <n v="5"/>
  </r>
  <r>
    <s v="S007"/>
    <s v="C101"/>
    <s v="Rahul"/>
    <x v="1"/>
    <x v="1"/>
    <s v="Accessories"/>
    <n v="16661"/>
    <n v="14793"/>
    <n v="12"/>
    <n v="-131.32"/>
    <d v="2026-05-23T00:00:00"/>
    <n v="2"/>
  </r>
  <r>
    <s v="S008"/>
    <s v="C105"/>
    <s v="Jay"/>
    <x v="2"/>
    <x v="1"/>
    <s v="Accessories"/>
    <n v="25503"/>
    <n v="19562"/>
    <n v="1"/>
    <n v="5685.97"/>
    <d v="2026-07-18T00:00:00"/>
    <n v="4"/>
  </r>
  <r>
    <s v="S009"/>
    <s v="C105"/>
    <s v="Jay"/>
    <x v="0"/>
    <x v="3"/>
    <s v="Accessories"/>
    <n v="30812"/>
    <n v="25879"/>
    <n v="12"/>
    <n v="1235.56"/>
    <d v="2026-04-28T00:00:00"/>
    <n v="5"/>
  </r>
  <r>
    <s v="S010"/>
    <s v="C111"/>
    <s v="Arjun"/>
    <x v="2"/>
    <x v="4"/>
    <s v="Electronics"/>
    <n v="48820"/>
    <n v="29773"/>
    <n v="21"/>
    <n v="8794.7999999999993"/>
    <d v="2026-06-30T00:00:00"/>
    <n v="5"/>
  </r>
  <r>
    <s v="S011"/>
    <s v="C115"/>
    <s v="Vivek"/>
    <x v="0"/>
    <x v="1"/>
    <s v="Accessories"/>
    <n v="83527"/>
    <n v="44019"/>
    <n v="23"/>
    <n v="20296.79"/>
    <d v="2026-02-12T00:00:00"/>
    <n v="4"/>
  </r>
  <r>
    <s v="S012"/>
    <s v="C108"/>
    <s v="Riya"/>
    <x v="1"/>
    <x v="2"/>
    <s v="Electronics"/>
    <n v="84186"/>
    <n v="63953"/>
    <n v="7"/>
    <n v="14339.98"/>
    <d v="2026-08-05T00:00:00"/>
    <n v="6"/>
  </r>
  <r>
    <s v="S013"/>
    <s v="C113"/>
    <s v="Rohan"/>
    <x v="0"/>
    <x v="4"/>
    <s v="Electronics"/>
    <n v="4507"/>
    <n v="3660"/>
    <n v="12"/>
    <n v="306.16000000000003"/>
    <d v="2026-01-18T00:00:00"/>
    <n v="5"/>
  </r>
  <r>
    <s v="S014"/>
    <s v="C104"/>
    <s v="Neha"/>
    <x v="2"/>
    <x v="4"/>
    <s v="Electronics"/>
    <n v="86209"/>
    <n v="58161"/>
    <n v="28"/>
    <n v="3909.48"/>
    <d v="2026-02-07T00:00:00"/>
    <n v="8"/>
  </r>
  <r>
    <s v="S015"/>
    <s v="C105"/>
    <s v="Jay"/>
    <x v="3"/>
    <x v="4"/>
    <s v="Electronics"/>
    <n v="97947"/>
    <n v="68819"/>
    <n v="8"/>
    <n v="21292.240000000002"/>
    <d v="2026-04-21T00:00:00"/>
    <n v="10"/>
  </r>
  <r>
    <s v="S016"/>
    <s v="C115"/>
    <s v="Vivek"/>
    <x v="1"/>
    <x v="2"/>
    <s v="Electronics"/>
    <n v="29046"/>
    <n v="26106"/>
    <n v="4"/>
    <n v="1778.16"/>
    <d v="2026-05-08T00:00:00"/>
    <n v="9"/>
  </r>
  <r>
    <s v="S017"/>
    <s v="C102"/>
    <s v="Priya"/>
    <x v="0"/>
    <x v="3"/>
    <s v="Accessories"/>
    <n v="14671"/>
    <n v="7611"/>
    <n v="5"/>
    <n v="6326.45"/>
    <d v="2026-06-03T00:00:00"/>
    <n v="7"/>
  </r>
  <r>
    <s v="S018"/>
    <s v="C102"/>
    <s v="Priya"/>
    <x v="1"/>
    <x v="5"/>
    <s v="Electronics"/>
    <n v="78404"/>
    <n v="70426"/>
    <n v="16"/>
    <n v="-4566.6400000000003"/>
    <d v="2026-09-07T00:00:00"/>
    <n v="5"/>
  </r>
  <r>
    <s v="S019"/>
    <s v="C109"/>
    <s v="Dev"/>
    <x v="0"/>
    <x v="6"/>
    <s v="Accessories"/>
    <n v="94766"/>
    <n v="47529"/>
    <n v="28"/>
    <n v="20702.52"/>
    <d v="2026-07-13T00:00:00"/>
    <n v="9"/>
  </r>
  <r>
    <s v="S020"/>
    <s v="C105"/>
    <s v="Jay"/>
    <x v="2"/>
    <x v="0"/>
    <s v="Electronics"/>
    <n v="38769"/>
    <n v="25030"/>
    <n v="14"/>
    <n v="8311.34"/>
    <d v="2026-09-03T00:00:00"/>
    <n v="1"/>
  </r>
  <r>
    <s v="S021"/>
    <s v="C112"/>
    <s v="Kavya"/>
    <x v="2"/>
    <x v="1"/>
    <s v="Accessories"/>
    <n v="23716"/>
    <n v="16090"/>
    <n v="3"/>
    <n v="6914.52"/>
    <d v="2026-08-05T00:00:00"/>
    <n v="5"/>
  </r>
  <r>
    <s v="S022"/>
    <s v="C111"/>
    <s v="Arjun"/>
    <x v="3"/>
    <x v="4"/>
    <s v="Electronics"/>
    <n v="49309"/>
    <n v="39108"/>
    <n v="17"/>
    <n v="1818.47"/>
    <d v="2026-08-25T00:00:00"/>
    <n v="9"/>
  </r>
  <r>
    <s v="S023"/>
    <s v="C101"/>
    <s v="Rahul"/>
    <x v="2"/>
    <x v="5"/>
    <s v="Electronics"/>
    <n v="2852"/>
    <n v="1426"/>
    <n v="11"/>
    <n v="1112.28"/>
    <d v="2026-03-04T00:00:00"/>
    <n v="5"/>
  </r>
  <r>
    <s v="S024"/>
    <s v="C101"/>
    <s v="Rahul"/>
    <x v="3"/>
    <x v="1"/>
    <s v="Accessories"/>
    <n v="10622"/>
    <n v="5189"/>
    <n v="15"/>
    <n v="3839.7"/>
    <d v="2026-07-15T00:00:00"/>
    <n v="2"/>
  </r>
  <r>
    <s v="S025"/>
    <s v="C109"/>
    <s v="Dev"/>
    <x v="3"/>
    <x v="4"/>
    <s v="Electronics"/>
    <n v="86774"/>
    <n v="57607"/>
    <n v="17"/>
    <n v="14415.42"/>
    <d v="2026-03-10T00:00:00"/>
    <n v="3"/>
  </r>
  <r>
    <s v="S026"/>
    <s v="C109"/>
    <s v="Dev"/>
    <x v="1"/>
    <x v="4"/>
    <s v="Electronics"/>
    <n v="70986"/>
    <n v="56069"/>
    <n v="22"/>
    <n v="-699.92"/>
    <d v="2026-07-03T00:00:00"/>
    <n v="4"/>
  </r>
  <r>
    <s v="S027"/>
    <s v="C105"/>
    <s v="Jay"/>
    <x v="1"/>
    <x v="6"/>
    <s v="Accessories"/>
    <n v="85480"/>
    <n v="52829"/>
    <n v="28"/>
    <n v="8716.6"/>
    <d v="2026-04-27T00:00:00"/>
    <n v="9"/>
  </r>
  <r>
    <s v="S028"/>
    <s v="C102"/>
    <s v="Priya"/>
    <x v="3"/>
    <x v="4"/>
    <s v="Electronics"/>
    <n v="8692"/>
    <n v="5233"/>
    <n v="18"/>
    <n v="1894.44"/>
    <d v="2026-03-01T00:00:00"/>
    <n v="9"/>
  </r>
  <r>
    <s v="S029"/>
    <s v="C110"/>
    <s v="Isha"/>
    <x v="3"/>
    <x v="0"/>
    <s v="Electronics"/>
    <n v="9605"/>
    <n v="7381"/>
    <n v="1"/>
    <n v="2127.9499999999998"/>
    <d v="2026-01-19T00:00:00"/>
    <n v="4"/>
  </r>
  <r>
    <s v="S030"/>
    <s v="C115"/>
    <s v="Vivek"/>
    <x v="0"/>
    <x v="3"/>
    <s v="Accessories"/>
    <n v="43609"/>
    <n v="21014"/>
    <n v="7"/>
    <n v="19542.37"/>
    <d v="2026-06-22T00:00:00"/>
    <n v="5"/>
  </r>
  <r>
    <s v="S031"/>
    <s v="C108"/>
    <s v="Riya"/>
    <x v="3"/>
    <x v="1"/>
    <s v="Accessories"/>
    <n v="17642"/>
    <n v="13681"/>
    <n v="28"/>
    <n v="-978.76"/>
    <d v="2026-05-29T00:00:00"/>
    <n v="10"/>
  </r>
  <r>
    <s v="S032"/>
    <s v="C108"/>
    <s v="Riya"/>
    <x v="3"/>
    <x v="3"/>
    <s v="Accessories"/>
    <n v="62293"/>
    <n v="50667"/>
    <n v="6"/>
    <n v="7888.42"/>
    <d v="2026-01-26T00:00:00"/>
    <n v="2"/>
  </r>
  <r>
    <s v="S033"/>
    <s v="C111"/>
    <s v="Arjun"/>
    <x v="1"/>
    <x v="2"/>
    <s v="Electronics"/>
    <n v="55819"/>
    <n v="35444"/>
    <n v="27"/>
    <n v="5303.87"/>
    <d v="2026-06-23T00:00:00"/>
    <n v="1"/>
  </r>
  <r>
    <s v="S034"/>
    <s v="C111"/>
    <s v="Arjun"/>
    <x v="0"/>
    <x v="0"/>
    <s v="Electronics"/>
    <n v="53072"/>
    <n v="41273"/>
    <n v="25"/>
    <n v="-1469"/>
    <d v="2026-03-06T00:00:00"/>
    <n v="2"/>
  </r>
  <r>
    <s v="S035"/>
    <s v="C104"/>
    <s v="Neha"/>
    <x v="3"/>
    <x v="1"/>
    <s v="Accessories"/>
    <n v="59100"/>
    <n v="30323"/>
    <n v="5"/>
    <n v="25822"/>
    <d v="2026-04-30T00:00:00"/>
    <n v="5"/>
  </r>
  <r>
    <s v="S036"/>
    <s v="C104"/>
    <s v="Neha"/>
    <x v="0"/>
    <x v="5"/>
    <s v="Electronics"/>
    <n v="72432"/>
    <n v="35785"/>
    <n v="20"/>
    <n v="22160.6"/>
    <d v="2026-08-04T00:00:00"/>
    <n v="9"/>
  </r>
  <r>
    <s v="S037"/>
    <s v="C101"/>
    <s v="Rahul"/>
    <x v="0"/>
    <x v="3"/>
    <s v="Accessories"/>
    <n v="31282"/>
    <n v="16418"/>
    <n v="15"/>
    <n v="10171.700000000001"/>
    <d v="2026-02-25T00:00:00"/>
    <n v="8"/>
  </r>
  <r>
    <s v="S038"/>
    <s v="C114"/>
    <s v="Anjali"/>
    <x v="1"/>
    <x v="0"/>
    <s v="Electronics"/>
    <n v="21879"/>
    <n v="13576"/>
    <n v="12"/>
    <n v="5677.52"/>
    <d v="2026-08-27T00:00:00"/>
    <n v="5"/>
  </r>
  <r>
    <s v="S039"/>
    <s v="C113"/>
    <s v="Rohan"/>
    <x v="1"/>
    <x v="2"/>
    <s v="Electronics"/>
    <n v="55744"/>
    <n v="42558"/>
    <n v="23"/>
    <n v="364.88"/>
    <d v="2026-06-20T00:00:00"/>
    <n v="9"/>
  </r>
  <r>
    <s v="S040"/>
    <s v="C112"/>
    <s v="Kavya"/>
    <x v="1"/>
    <x v="4"/>
    <s v="Electronics"/>
    <n v="25190"/>
    <n v="14698"/>
    <n v="30"/>
    <n v="2935"/>
    <d v="2026-05-30T00:00:00"/>
    <n v="1"/>
  </r>
  <r>
    <s v="S041"/>
    <s v="C112"/>
    <s v="Kavya"/>
    <x v="0"/>
    <x v="6"/>
    <s v="Accessories"/>
    <n v="41404"/>
    <n v="19696"/>
    <n v="18"/>
    <n v="14255.28"/>
    <d v="2026-05-10T00:00:00"/>
    <n v="8"/>
  </r>
  <r>
    <s v="S042"/>
    <s v="C115"/>
    <s v="Vivek"/>
    <x v="3"/>
    <x v="0"/>
    <s v="Electronics"/>
    <n v="66862"/>
    <n v="32498"/>
    <n v="5"/>
    <n v="31020.9"/>
    <d v="2026-06-03T00:00:00"/>
    <n v="2"/>
  </r>
  <r>
    <s v="S043"/>
    <s v="C102"/>
    <s v="Priya"/>
    <x v="3"/>
    <x v="5"/>
    <s v="Electronics"/>
    <n v="16013"/>
    <n v="13990"/>
    <n v="18"/>
    <n v="-859.34"/>
    <d v="2026-05-30T00:00:00"/>
    <n v="4"/>
  </r>
  <r>
    <s v="S044"/>
    <s v="C110"/>
    <s v="Isha"/>
    <x v="0"/>
    <x v="1"/>
    <s v="Accessories"/>
    <n v="11045"/>
    <n v="7053"/>
    <n v="18"/>
    <n v="2003.9"/>
    <d v="2026-05-15T00:00:00"/>
    <n v="10"/>
  </r>
  <r>
    <s v="S045"/>
    <s v="C106"/>
    <s v="Meera"/>
    <x v="2"/>
    <x v="4"/>
    <s v="Electronics"/>
    <n v="88082"/>
    <n v="68024"/>
    <n v="7"/>
    <n v="13892.26"/>
    <d v="2026-04-13T00:00:00"/>
    <n v="5"/>
  </r>
  <r>
    <s v="S046"/>
    <s v="C103"/>
    <s v="Amit"/>
    <x v="2"/>
    <x v="5"/>
    <s v="Electronics"/>
    <n v="41741"/>
    <n v="36233"/>
    <n v="29"/>
    <n v="-6596.89"/>
    <d v="2026-01-04T00:00:00"/>
    <n v="2"/>
  </r>
  <r>
    <s v="S047"/>
    <s v="C108"/>
    <s v="Riya"/>
    <x v="0"/>
    <x v="0"/>
    <s v="Electronics"/>
    <n v="70768"/>
    <n v="38633"/>
    <n v="8"/>
    <n v="26473.56"/>
    <d v="2026-08-28T00:00:00"/>
    <n v="3"/>
  </r>
  <r>
    <s v="S048"/>
    <s v="C106"/>
    <s v="Meera"/>
    <x v="0"/>
    <x v="4"/>
    <s v="Electronics"/>
    <n v="48734"/>
    <n v="28180"/>
    <n v="14"/>
    <n v="13731.24"/>
    <d v="2026-07-01T00:00:00"/>
    <n v="9"/>
  </r>
  <r>
    <s v="S049"/>
    <s v="C105"/>
    <s v="Jay"/>
    <x v="0"/>
    <x v="6"/>
    <s v="Accessories"/>
    <n v="72992"/>
    <n v="42679"/>
    <n v="21"/>
    <n v="14984.68"/>
    <d v="2026-08-30T00:00:00"/>
    <n v="2"/>
  </r>
  <r>
    <s v="S050"/>
    <s v="C115"/>
    <s v="Vivek"/>
    <x v="3"/>
    <x v="2"/>
    <s v="Electronics"/>
    <n v="15429"/>
    <n v="13120"/>
    <n v="23"/>
    <n v="-1239.67"/>
    <d v="2026-02-10T00:00:00"/>
    <n v="9"/>
  </r>
  <r>
    <s v="S051"/>
    <s v="C105"/>
    <s v="Jay"/>
    <x v="2"/>
    <x v="1"/>
    <s v="Accessories"/>
    <n v="27907"/>
    <n v="21570"/>
    <n v="6"/>
    <n v="4662.58"/>
    <d v="2026-05-11T00:00:00"/>
    <n v="5"/>
  </r>
  <r>
    <s v="S052"/>
    <s v="C108"/>
    <s v="Riya"/>
    <x v="2"/>
    <x v="3"/>
    <s v="Accessories"/>
    <n v="6958"/>
    <n v="3420"/>
    <n v="13"/>
    <n v="2633.46"/>
    <d v="2026-01-13T00:00:00"/>
    <n v="5"/>
  </r>
  <r>
    <s v="S053"/>
    <s v="C101"/>
    <s v="Rahul"/>
    <x v="2"/>
    <x v="3"/>
    <s v="Accessories"/>
    <n v="17446"/>
    <n v="12852"/>
    <n v="8"/>
    <n v="3198.32"/>
    <d v="2026-07-10T00:00:00"/>
    <n v="3"/>
  </r>
  <r>
    <s v="S054"/>
    <s v="C108"/>
    <s v="Riya"/>
    <x v="1"/>
    <x v="1"/>
    <s v="Accessories"/>
    <n v="1567"/>
    <n v="784"/>
    <n v="30"/>
    <n v="312.89999999999998"/>
    <d v="2026-05-21T00:00:00"/>
    <n v="3"/>
  </r>
  <r>
    <s v="S055"/>
    <s v="C101"/>
    <s v="Rahul"/>
    <x v="2"/>
    <x v="1"/>
    <s v="Accessories"/>
    <n v="72720"/>
    <n v="37570"/>
    <n v="4"/>
    <n v="32241.200000000001"/>
    <d v="2026-03-21T00:00:00"/>
    <n v="1"/>
  </r>
  <r>
    <s v="S056"/>
    <s v="C106"/>
    <s v="Meera"/>
    <x v="0"/>
    <x v="2"/>
    <s v="Electronics"/>
    <n v="27835"/>
    <n v="21069"/>
    <n v="21"/>
    <n v="920.65"/>
    <d v="2026-04-02T00:00:00"/>
    <n v="2"/>
  </r>
  <r>
    <s v="S057"/>
    <s v="C113"/>
    <s v="Rohan"/>
    <x v="1"/>
    <x v="1"/>
    <s v="Accessories"/>
    <n v="98535"/>
    <n v="51193"/>
    <n v="29"/>
    <n v="18766.849999999999"/>
    <d v="2026-08-11T00:00:00"/>
    <n v="4"/>
  </r>
  <r>
    <s v="S058"/>
    <s v="C103"/>
    <s v="Amit"/>
    <x v="3"/>
    <x v="5"/>
    <s v="Electronics"/>
    <n v="3548"/>
    <n v="1882"/>
    <n v="29"/>
    <n v="637.08000000000004"/>
    <d v="2026-07-21T00:00:00"/>
    <n v="6"/>
  </r>
  <r>
    <s v="S059"/>
    <s v="C115"/>
    <s v="Vivek"/>
    <x v="1"/>
    <x v="3"/>
    <s v="Accessories"/>
    <n v="88106"/>
    <n v="73905"/>
    <n v="25"/>
    <n v="-7825.5"/>
    <d v="2026-03-11T00:00:00"/>
    <n v="4"/>
  </r>
  <r>
    <s v="S060"/>
    <s v="C103"/>
    <s v="Amit"/>
    <x v="0"/>
    <x v="5"/>
    <s v="Electronics"/>
    <n v="5375"/>
    <n v="4495"/>
    <n v="7"/>
    <n v="503.75"/>
    <d v="2026-07-30T00:00:00"/>
    <n v="4"/>
  </r>
  <r>
    <s v="S061"/>
    <s v="C115"/>
    <s v="Vivek"/>
    <x v="1"/>
    <x v="2"/>
    <s v="Electronics"/>
    <n v="40301"/>
    <n v="33016"/>
    <n v="27"/>
    <n v="-3596.27"/>
    <d v="2026-02-28T00:00:00"/>
    <n v="4"/>
  </r>
  <r>
    <s v="S062"/>
    <s v="C101"/>
    <s v="Rahul"/>
    <x v="3"/>
    <x v="5"/>
    <s v="Electronics"/>
    <n v="43325"/>
    <n v="24927"/>
    <n v="2"/>
    <n v="17531.5"/>
    <d v="2026-04-01T00:00:00"/>
    <n v="5"/>
  </r>
  <r>
    <s v="S063"/>
    <s v="C111"/>
    <s v="Arjun"/>
    <x v="1"/>
    <x v="6"/>
    <s v="Accessories"/>
    <n v="70582"/>
    <n v="42279"/>
    <n v="0"/>
    <n v="28303"/>
    <d v="2026-08-14T00:00:00"/>
    <n v="2"/>
  </r>
  <r>
    <s v="S064"/>
    <s v="C105"/>
    <s v="Jay"/>
    <x v="3"/>
    <x v="1"/>
    <s v="Accessories"/>
    <n v="35095"/>
    <n v="16396"/>
    <n v="19"/>
    <n v="12030.95"/>
    <d v="2026-03-31T00:00:00"/>
    <n v="7"/>
  </r>
  <r>
    <s v="S065"/>
    <s v="C112"/>
    <s v="Kavya"/>
    <x v="2"/>
    <x v="5"/>
    <s v="Electronics"/>
    <n v="79757"/>
    <n v="71215"/>
    <n v="3"/>
    <n v="6149.29"/>
    <d v="2026-08-20T00:00:00"/>
    <n v="7"/>
  </r>
  <r>
    <s v="S066"/>
    <s v="C110"/>
    <s v="Isha"/>
    <x v="3"/>
    <x v="2"/>
    <s v="Electronics"/>
    <n v="6117"/>
    <n v="4703"/>
    <n v="0"/>
    <n v="1414"/>
    <d v="2026-08-26T00:00:00"/>
    <n v="9"/>
  </r>
  <r>
    <s v="S067"/>
    <s v="C113"/>
    <s v="Rohan"/>
    <x v="3"/>
    <x v="2"/>
    <s v="Electronics"/>
    <n v="56831"/>
    <n v="27363"/>
    <n v="21"/>
    <n v="17533.490000000002"/>
    <d v="2026-06-10T00:00:00"/>
    <n v="6"/>
  </r>
  <r>
    <s v="S068"/>
    <s v="C106"/>
    <s v="Meera"/>
    <x v="0"/>
    <x v="6"/>
    <s v="Accessories"/>
    <n v="39663"/>
    <n v="26899"/>
    <n v="21"/>
    <n v="4434.7700000000004"/>
    <d v="2026-03-26T00:00:00"/>
    <n v="7"/>
  </r>
  <r>
    <s v="S069"/>
    <s v="C107"/>
    <s v="Karan"/>
    <x v="2"/>
    <x v="1"/>
    <s v="Accessories"/>
    <n v="16983"/>
    <n v="9108"/>
    <n v="21"/>
    <n v="4308.57"/>
    <d v="2026-06-24T00:00:00"/>
    <n v="7"/>
  </r>
  <r>
    <s v="S070"/>
    <s v="C112"/>
    <s v="Kavya"/>
    <x v="3"/>
    <x v="1"/>
    <s v="Accessories"/>
    <n v="74893"/>
    <n v="43844"/>
    <n v="17"/>
    <n v="18317.189999999999"/>
    <d v="2026-03-20T00:00:00"/>
    <n v="1"/>
  </r>
  <r>
    <s v="S071"/>
    <s v="C105"/>
    <s v="Jay"/>
    <x v="3"/>
    <x v="5"/>
    <s v="Electronics"/>
    <n v="76319"/>
    <n v="55178"/>
    <n v="10"/>
    <n v="13509.1"/>
    <d v="2026-04-25T00:00:00"/>
    <n v="8"/>
  </r>
  <r>
    <s v="S072"/>
    <s v="C108"/>
    <s v="Riya"/>
    <x v="3"/>
    <x v="1"/>
    <s v="Accessories"/>
    <n v="62321"/>
    <n v="50304"/>
    <n v="30"/>
    <n v="-6679.3"/>
    <d v="2026-06-19T00:00:00"/>
    <n v="3"/>
  </r>
  <r>
    <s v="S073"/>
    <s v="C102"/>
    <s v="Priya"/>
    <x v="2"/>
    <x v="1"/>
    <s v="Accessories"/>
    <n v="87312"/>
    <n v="64158"/>
    <n v="10"/>
    <n v="14422.8"/>
    <d v="2026-07-30T00:00:00"/>
    <n v="2"/>
  </r>
  <r>
    <s v="S074"/>
    <s v="C113"/>
    <s v="Rohan"/>
    <x v="3"/>
    <x v="6"/>
    <s v="Accessories"/>
    <n v="40987"/>
    <n v="22587"/>
    <n v="6"/>
    <n v="15940.78"/>
    <d v="2026-01-08T00:00:00"/>
    <n v="3"/>
  </r>
  <r>
    <s v="S075"/>
    <s v="C101"/>
    <s v="Rahul"/>
    <x v="3"/>
    <x v="5"/>
    <s v="Electronics"/>
    <n v="80420"/>
    <n v="66940"/>
    <n v="2"/>
    <n v="11871.6"/>
    <d v="2026-04-18T00:00:00"/>
    <n v="8"/>
  </r>
  <r>
    <s v="S076"/>
    <s v="C115"/>
    <s v="Vivek"/>
    <x v="3"/>
    <x v="6"/>
    <s v="Accessories"/>
    <n v="91572"/>
    <n v="57030"/>
    <n v="12"/>
    <n v="23553.360000000001"/>
    <d v="2026-02-08T00:00:00"/>
    <n v="4"/>
  </r>
  <r>
    <s v="S077"/>
    <s v="C111"/>
    <s v="Arjun"/>
    <x v="0"/>
    <x v="3"/>
    <s v="Accessories"/>
    <n v="14270"/>
    <n v="11420"/>
    <n v="7"/>
    <n v="1851.1"/>
    <d v="2026-07-26T00:00:00"/>
    <n v="3"/>
  </r>
  <r>
    <s v="S078"/>
    <s v="C112"/>
    <s v="Kavya"/>
    <x v="1"/>
    <x v="0"/>
    <s v="Electronics"/>
    <n v="73360"/>
    <n v="41238"/>
    <n v="27"/>
    <n v="12314.8"/>
    <d v="2026-04-28T00:00:00"/>
    <n v="2"/>
  </r>
  <r>
    <s v="S079"/>
    <s v="C103"/>
    <s v="Amit"/>
    <x v="1"/>
    <x v="6"/>
    <s v="Accessories"/>
    <n v="69916"/>
    <n v="62543"/>
    <n v="19"/>
    <n v="-5911.04"/>
    <d v="2026-09-02T00:00:00"/>
    <n v="6"/>
  </r>
  <r>
    <s v="S080"/>
    <s v="C113"/>
    <s v="Rohan"/>
    <x v="1"/>
    <x v="1"/>
    <s v="Accessories"/>
    <n v="94576"/>
    <n v="80522"/>
    <n v="13"/>
    <n v="1759.12"/>
    <d v="2026-04-26T00:00:00"/>
    <n v="9"/>
  </r>
  <r>
    <s v="S081"/>
    <s v="C115"/>
    <s v="Vivek"/>
    <x v="3"/>
    <x v="6"/>
    <s v="Accessories"/>
    <n v="62516"/>
    <n v="40793"/>
    <n v="24"/>
    <n v="6719.16"/>
    <d v="2026-08-05T00:00:00"/>
    <n v="4"/>
  </r>
  <r>
    <s v="S082"/>
    <s v="C111"/>
    <s v="Arjun"/>
    <x v="2"/>
    <x v="3"/>
    <s v="Accessories"/>
    <n v="68627"/>
    <n v="45847"/>
    <n v="7"/>
    <n v="17976.11"/>
    <d v="2026-04-24T00:00:00"/>
    <n v="5"/>
  </r>
  <r>
    <s v="S083"/>
    <s v="C102"/>
    <s v="Priya"/>
    <x v="2"/>
    <x v="4"/>
    <s v="Electronics"/>
    <n v="35914"/>
    <n v="21589"/>
    <n v="28"/>
    <n v="4269.08"/>
    <d v="2026-01-22T00:00:00"/>
    <n v="9"/>
  </r>
  <r>
    <s v="S084"/>
    <s v="C103"/>
    <s v="Amit"/>
    <x v="3"/>
    <x v="4"/>
    <s v="Electronics"/>
    <n v="50505"/>
    <n v="38498"/>
    <n v="22"/>
    <n v="895.9"/>
    <d v="2026-01-18T00:00:00"/>
    <n v="4"/>
  </r>
  <r>
    <s v="S085"/>
    <s v="C107"/>
    <s v="Karan"/>
    <x v="1"/>
    <x v="2"/>
    <s v="Electronics"/>
    <n v="71421"/>
    <n v="47114"/>
    <n v="1"/>
    <n v="23592.79"/>
    <d v="2026-08-03T00:00:00"/>
    <n v="4"/>
  </r>
  <r>
    <s v="S086"/>
    <s v="C107"/>
    <s v="Karan"/>
    <x v="1"/>
    <x v="3"/>
    <s v="Accessories"/>
    <n v="76856"/>
    <n v="67304"/>
    <n v="0"/>
    <n v="9552"/>
    <d v="2026-04-09T00:00:00"/>
    <n v="10"/>
  </r>
  <r>
    <s v="S087"/>
    <s v="C108"/>
    <s v="Riya"/>
    <x v="0"/>
    <x v="2"/>
    <s v="Electronics"/>
    <n v="39439"/>
    <n v="31119"/>
    <n v="27"/>
    <n v="-2328.5300000000002"/>
    <d v="2026-05-19T00:00:00"/>
    <n v="7"/>
  </r>
  <r>
    <s v="S088"/>
    <s v="C112"/>
    <s v="Kavya"/>
    <x v="3"/>
    <x v="5"/>
    <s v="Electronics"/>
    <n v="29060"/>
    <n v="16646"/>
    <n v="15"/>
    <n v="8055"/>
    <d v="2026-04-11T00:00:00"/>
    <n v="1"/>
  </r>
  <r>
    <s v="S089"/>
    <s v="C106"/>
    <s v="Meera"/>
    <x v="1"/>
    <x v="6"/>
    <s v="Accessories"/>
    <n v="21932"/>
    <n v="18164"/>
    <n v="29"/>
    <n v="-2592.2800000000002"/>
    <d v="2026-06-10T00:00:00"/>
    <n v="3"/>
  </r>
  <r>
    <s v="S090"/>
    <s v="C109"/>
    <s v="Dev"/>
    <x v="0"/>
    <x v="5"/>
    <s v="Electronics"/>
    <n v="77880"/>
    <n v="54825"/>
    <n v="0"/>
    <n v="23055"/>
    <d v="2026-06-15T00:00:00"/>
    <n v="2"/>
  </r>
  <r>
    <s v="S091"/>
    <s v="C107"/>
    <s v="Karan"/>
    <x v="3"/>
    <x v="3"/>
    <s v="Accessories"/>
    <n v="60815"/>
    <n v="32340"/>
    <n v="8"/>
    <n v="23609.8"/>
    <d v="2026-03-26T00:00:00"/>
    <n v="7"/>
  </r>
  <r>
    <s v="S092"/>
    <s v="C104"/>
    <s v="Neha"/>
    <x v="1"/>
    <x v="2"/>
    <s v="Electronics"/>
    <n v="44536"/>
    <n v="35297"/>
    <n v="12"/>
    <n v="3894.68"/>
    <d v="2026-07-13T00:00:00"/>
    <n v="5"/>
  </r>
  <r>
    <s v="S093"/>
    <s v="C114"/>
    <s v="Anjali"/>
    <x v="1"/>
    <x v="2"/>
    <s v="Electronics"/>
    <n v="11035"/>
    <n v="7301"/>
    <n v="23"/>
    <n v="1195.95"/>
    <d v="2026-01-15T00:00:00"/>
    <n v="9"/>
  </r>
  <r>
    <s v="S094"/>
    <s v="C106"/>
    <s v="Meera"/>
    <x v="3"/>
    <x v="6"/>
    <s v="Accessories"/>
    <n v="9293"/>
    <n v="7448"/>
    <n v="20"/>
    <n v="-13.6"/>
    <d v="2026-07-14T00:00:00"/>
    <n v="1"/>
  </r>
  <r>
    <s v="S095"/>
    <s v="C101"/>
    <s v="Rahul"/>
    <x v="3"/>
    <x v="4"/>
    <s v="Electronics"/>
    <n v="2971"/>
    <n v="2167"/>
    <n v="7"/>
    <n v="596.03"/>
    <d v="2026-05-03T00:00:00"/>
    <n v="3"/>
  </r>
  <r>
    <s v="S096"/>
    <s v="C111"/>
    <s v="Arjun"/>
    <x v="0"/>
    <x v="1"/>
    <s v="Accessories"/>
    <n v="28869"/>
    <n v="19032"/>
    <n v="8"/>
    <n v="7527.48"/>
    <d v="2026-02-13T00:00:00"/>
    <n v="6"/>
  </r>
  <r>
    <s v="S097"/>
    <s v="C110"/>
    <s v="Isha"/>
    <x v="0"/>
    <x v="3"/>
    <s v="Accessories"/>
    <n v="21765"/>
    <n v="19242"/>
    <n v="3"/>
    <n v="1870.05"/>
    <d v="2026-01-08T00:00:00"/>
    <n v="10"/>
  </r>
  <r>
    <s v="S098"/>
    <s v="C115"/>
    <s v="Vivek"/>
    <x v="2"/>
    <x v="1"/>
    <s v="Accessories"/>
    <n v="89081"/>
    <n v="76485"/>
    <n v="12"/>
    <n v="1906.28"/>
    <d v="2026-08-31T00:00:00"/>
    <n v="7"/>
  </r>
  <r>
    <s v="S099"/>
    <s v="C112"/>
    <s v="Kavya"/>
    <x v="3"/>
    <x v="0"/>
    <s v="Electronics"/>
    <n v="77907"/>
    <n v="59269"/>
    <n v="20"/>
    <n v="3056.6"/>
    <d v="2026-01-28T00:00:00"/>
    <n v="4"/>
  </r>
  <r>
    <s v="S100"/>
    <s v="C112"/>
    <s v="Kavya"/>
    <x v="2"/>
    <x v="3"/>
    <s v="Accessories"/>
    <n v="89987"/>
    <n v="64807"/>
    <n v="3"/>
    <n v="22480.39"/>
    <d v="2026-07-21T00:00:00"/>
    <n v="10"/>
  </r>
  <r>
    <s v="S101"/>
    <s v="C101"/>
    <s v="Rahul"/>
    <x v="2"/>
    <x v="1"/>
    <s v="Accessories"/>
    <n v="56448"/>
    <n v="42205"/>
    <n v="2"/>
    <n v="13114.04"/>
    <d v="2026-06-16T00:00:00"/>
    <n v="9"/>
  </r>
  <r>
    <s v="S102"/>
    <s v="C106"/>
    <s v="Meera"/>
    <x v="0"/>
    <x v="3"/>
    <s v="Accessories"/>
    <n v="55357"/>
    <n v="45395"/>
    <n v="3"/>
    <n v="8301.2900000000009"/>
    <d v="2026-09-04T00:00:00"/>
    <n v="7"/>
  </r>
  <r>
    <s v="S103"/>
    <s v="C106"/>
    <s v="Meera"/>
    <x v="1"/>
    <x v="6"/>
    <s v="Accessories"/>
    <n v="20352"/>
    <n v="13146"/>
    <n v="23"/>
    <n v="2525.04"/>
    <d v="2026-09-06T00:00:00"/>
    <n v="9"/>
  </r>
  <r>
    <s v="S104"/>
    <s v="C111"/>
    <s v="Arjun"/>
    <x v="2"/>
    <x v="1"/>
    <s v="Accessories"/>
    <n v="70839"/>
    <n v="56571"/>
    <n v="14"/>
    <n v="4350.54"/>
    <d v="2026-08-01T00:00:00"/>
    <n v="7"/>
  </r>
  <r>
    <s v="S105"/>
    <s v="C112"/>
    <s v="Kavya"/>
    <x v="2"/>
    <x v="2"/>
    <s v="Electronics"/>
    <n v="32477"/>
    <n v="26755"/>
    <n v="2"/>
    <n v="5072.46"/>
    <d v="2026-08-15T00:00:00"/>
    <n v="5"/>
  </r>
  <r>
    <s v="S106"/>
    <s v="C108"/>
    <s v="Riya"/>
    <x v="3"/>
    <x v="3"/>
    <s v="Accessories"/>
    <n v="61210"/>
    <n v="43240"/>
    <n v="21"/>
    <n v="5115.8999999999996"/>
    <d v="2026-03-29T00:00:00"/>
    <n v="7"/>
  </r>
  <r>
    <s v="S107"/>
    <s v="C101"/>
    <s v="Rahul"/>
    <x v="1"/>
    <x v="3"/>
    <s v="Accessories"/>
    <n v="42900"/>
    <n v="22815"/>
    <n v="6"/>
    <n v="17511"/>
    <d v="2026-07-25T00:00:00"/>
    <n v="6"/>
  </r>
  <r>
    <s v="S108"/>
    <s v="C105"/>
    <s v="Jay"/>
    <x v="2"/>
    <x v="2"/>
    <s v="Electronics"/>
    <n v="78439"/>
    <n v="60047"/>
    <n v="8"/>
    <n v="12116.88"/>
    <d v="2026-01-04T00:00:00"/>
    <n v="9"/>
  </r>
  <r>
    <s v="S109"/>
    <s v="C109"/>
    <s v="Dev"/>
    <x v="3"/>
    <x v="0"/>
    <s v="Electronics"/>
    <n v="31935"/>
    <n v="24718"/>
    <n v="15"/>
    <n v="2426.75"/>
    <d v="2026-07-15T00:00:00"/>
    <n v="9"/>
  </r>
  <r>
    <s v="S110"/>
    <s v="C104"/>
    <s v="Neha"/>
    <x v="1"/>
    <x v="6"/>
    <s v="Accessories"/>
    <n v="93602"/>
    <n v="62794"/>
    <n v="25"/>
    <n v="7407.5"/>
    <d v="2026-01-25T00:00:00"/>
    <n v="1"/>
  </r>
  <r>
    <s v="S111"/>
    <s v="C105"/>
    <s v="Jay"/>
    <x v="3"/>
    <x v="5"/>
    <s v="Electronics"/>
    <n v="90973"/>
    <n v="50898"/>
    <n v="21"/>
    <n v="20970.669999999998"/>
    <d v="2026-04-06T00:00:00"/>
    <n v="10"/>
  </r>
  <r>
    <s v="S112"/>
    <s v="C108"/>
    <s v="Riya"/>
    <x v="2"/>
    <x v="5"/>
    <s v="Electronics"/>
    <n v="98071"/>
    <n v="68421"/>
    <n v="11"/>
    <n v="18862.189999999999"/>
    <d v="2026-03-12T00:00:00"/>
    <n v="8"/>
  </r>
  <r>
    <s v="S113"/>
    <s v="C105"/>
    <s v="Jay"/>
    <x v="2"/>
    <x v="4"/>
    <s v="Electronics"/>
    <n v="16114"/>
    <n v="12481"/>
    <n v="10"/>
    <n v="2021.6"/>
    <d v="2026-07-11T00:00:00"/>
    <n v="2"/>
  </r>
  <r>
    <s v="S114"/>
    <s v="C109"/>
    <s v="Dev"/>
    <x v="3"/>
    <x v="4"/>
    <s v="Electronics"/>
    <n v="28661"/>
    <n v="22423"/>
    <n v="8"/>
    <n v="3945.12"/>
    <d v="2026-07-15T00:00:00"/>
    <n v="10"/>
  </r>
  <r>
    <s v="S115"/>
    <s v="C109"/>
    <s v="Dev"/>
    <x v="2"/>
    <x v="0"/>
    <s v="Electronics"/>
    <n v="25743"/>
    <n v="15016"/>
    <n v="11"/>
    <n v="7895.27"/>
    <d v="2026-03-20T00:00:00"/>
    <n v="3"/>
  </r>
  <r>
    <s v="S116"/>
    <s v="C101"/>
    <s v="Rahul"/>
    <x v="3"/>
    <x v="2"/>
    <s v="Electronics"/>
    <n v="6265"/>
    <n v="5566"/>
    <n v="17"/>
    <n v="-366.05"/>
    <d v="2026-06-29T00:00:00"/>
    <n v="5"/>
  </r>
  <r>
    <s v="S117"/>
    <s v="C103"/>
    <s v="Amit"/>
    <x v="1"/>
    <x v="0"/>
    <s v="Electronics"/>
    <n v="1907"/>
    <n v="1350"/>
    <n v="15"/>
    <n v="270.95"/>
    <d v="2026-04-24T00:00:00"/>
    <n v="8"/>
  </r>
  <r>
    <s v="S118"/>
    <s v="C106"/>
    <s v="Meera"/>
    <x v="3"/>
    <x v="0"/>
    <s v="Electronics"/>
    <n v="33392"/>
    <n v="29167"/>
    <n v="15"/>
    <n v="-783.8"/>
    <d v="2026-07-31T00:00:00"/>
    <n v="2"/>
  </r>
  <r>
    <s v="S119"/>
    <s v="C102"/>
    <s v="Priya"/>
    <x v="1"/>
    <x v="5"/>
    <s v="Electronics"/>
    <n v="10010"/>
    <n v="7103"/>
    <n v="21"/>
    <n v="804.9"/>
    <d v="2026-02-09T00:00:00"/>
    <n v="1"/>
  </r>
  <r>
    <s v="S120"/>
    <s v="C103"/>
    <s v="Amit"/>
    <x v="2"/>
    <x v="0"/>
    <s v="Electronics"/>
    <n v="32830"/>
    <n v="16523"/>
    <n v="24"/>
    <n v="8427.7999999999993"/>
    <d v="2026-06-06T00:00:00"/>
    <n v="7"/>
  </r>
  <r>
    <s v="S121"/>
    <s v="C110"/>
    <s v="Isha"/>
    <x v="3"/>
    <x v="3"/>
    <s v="Accessories"/>
    <n v="68794"/>
    <n v="42732"/>
    <n v="29"/>
    <n v="6111.74"/>
    <d v="2026-03-19T00:00:00"/>
    <n v="8"/>
  </r>
  <r>
    <s v="S122"/>
    <s v="C114"/>
    <s v="Anjali"/>
    <x v="1"/>
    <x v="2"/>
    <s v="Electronics"/>
    <n v="74831"/>
    <n v="54586"/>
    <n v="19"/>
    <n v="6027.11"/>
    <d v="2026-09-01T00:00:00"/>
    <n v="2"/>
  </r>
  <r>
    <s v="S123"/>
    <s v="C113"/>
    <s v="Rohan"/>
    <x v="3"/>
    <x v="6"/>
    <s v="Accessories"/>
    <n v="27959"/>
    <n v="15911"/>
    <n v="2"/>
    <n v="11488.82"/>
    <d v="2026-03-04T00:00:00"/>
    <n v="3"/>
  </r>
  <r>
    <s v="S124"/>
    <s v="C103"/>
    <s v="Amit"/>
    <x v="0"/>
    <x v="4"/>
    <s v="Electronics"/>
    <n v="650"/>
    <n v="411"/>
    <n v="22"/>
    <n v="96"/>
    <d v="2026-05-02T00:00:00"/>
    <n v="10"/>
  </r>
  <r>
    <s v="S125"/>
    <s v="C105"/>
    <s v="Jay"/>
    <x v="0"/>
    <x v="4"/>
    <s v="Electronics"/>
    <n v="38062"/>
    <n v="29236"/>
    <n v="22"/>
    <n v="452.36"/>
    <d v="2026-01-20T00:00:00"/>
    <n v="8"/>
  </r>
  <r>
    <s v="S126"/>
    <s v="C111"/>
    <s v="Arjun"/>
    <x v="3"/>
    <x v="2"/>
    <s v="Electronics"/>
    <n v="82227"/>
    <n v="58825"/>
    <n v="25"/>
    <n v="2845.25"/>
    <d v="2026-04-20T00:00:00"/>
    <n v="4"/>
  </r>
  <r>
    <s v="S127"/>
    <s v="C102"/>
    <s v="Priya"/>
    <x v="3"/>
    <x v="6"/>
    <s v="Accessories"/>
    <n v="19828"/>
    <n v="17027"/>
    <n v="26"/>
    <n v="-2354.2800000000002"/>
    <d v="2026-01-20T00:00:00"/>
    <n v="3"/>
  </r>
  <r>
    <s v="S128"/>
    <s v="C101"/>
    <s v="Rahul"/>
    <x v="3"/>
    <x v="3"/>
    <s v="Accessories"/>
    <n v="40619"/>
    <n v="29155"/>
    <n v="26"/>
    <n v="903.06"/>
    <d v="2026-08-25T00:00:00"/>
    <n v="10"/>
  </r>
  <r>
    <s v="S129"/>
    <s v="C105"/>
    <s v="Jay"/>
    <x v="1"/>
    <x v="0"/>
    <s v="Electronics"/>
    <n v="61733"/>
    <n v="46911"/>
    <n v="22"/>
    <n v="1240.74"/>
    <d v="2026-08-31T00:00:00"/>
    <n v="7"/>
  </r>
  <r>
    <s v="S130"/>
    <s v="C105"/>
    <s v="Jay"/>
    <x v="1"/>
    <x v="5"/>
    <s v="Electronics"/>
    <n v="10843"/>
    <n v="7797"/>
    <n v="28"/>
    <n v="9.9600000000000009"/>
    <d v="2026-07-09T00:00:00"/>
    <n v="7"/>
  </r>
  <r>
    <s v="S131"/>
    <s v="C106"/>
    <s v="Meera"/>
    <x v="2"/>
    <x v="0"/>
    <s v="Electronics"/>
    <n v="12270"/>
    <n v="6785"/>
    <n v="21"/>
    <n v="2908.3"/>
    <d v="2026-06-01T00:00:00"/>
    <n v="10"/>
  </r>
  <r>
    <s v="S132"/>
    <s v="C101"/>
    <s v="Rahul"/>
    <x v="2"/>
    <x v="1"/>
    <s v="Accessories"/>
    <n v="5573"/>
    <n v="4421"/>
    <n v="5"/>
    <n v="873.35"/>
    <d v="2026-05-14T00:00:00"/>
    <n v="8"/>
  </r>
  <r>
    <s v="S133"/>
    <s v="C111"/>
    <s v="Arjun"/>
    <x v="1"/>
    <x v="2"/>
    <s v="Electronics"/>
    <n v="24088"/>
    <n v="21646"/>
    <n v="13"/>
    <n v="-689.44"/>
    <d v="2026-09-07T00:00:00"/>
    <n v="8"/>
  </r>
  <r>
    <s v="S134"/>
    <s v="C102"/>
    <s v="Priya"/>
    <x v="1"/>
    <x v="2"/>
    <s v="Electronics"/>
    <n v="53823"/>
    <n v="32293"/>
    <n v="21"/>
    <n v="10227.17"/>
    <d v="2026-08-09T00:00:00"/>
    <n v="2"/>
  </r>
  <r>
    <s v="S135"/>
    <s v="C103"/>
    <s v="Amit"/>
    <x v="2"/>
    <x v="5"/>
    <s v="Electronics"/>
    <n v="91221"/>
    <n v="61388"/>
    <n v="21"/>
    <n v="10676.59"/>
    <d v="2026-07-29T00:00:00"/>
    <n v="7"/>
  </r>
  <r>
    <s v="S136"/>
    <s v="C113"/>
    <s v="Rohan"/>
    <x v="0"/>
    <x v="5"/>
    <s v="Electronics"/>
    <n v="11842"/>
    <n v="7004"/>
    <n v="10"/>
    <n v="3653.8"/>
    <d v="2026-09-07T00:00:00"/>
    <n v="2"/>
  </r>
  <r>
    <s v="S137"/>
    <s v="C113"/>
    <s v="Rohan"/>
    <x v="1"/>
    <x v="3"/>
    <s v="Accessories"/>
    <n v="67749"/>
    <n v="55636"/>
    <n v="0"/>
    <n v="12113"/>
    <d v="2026-04-30T00:00:00"/>
    <n v="9"/>
  </r>
  <r>
    <s v="S138"/>
    <s v="C107"/>
    <s v="Karan"/>
    <x v="0"/>
    <x v="4"/>
    <s v="Electronics"/>
    <n v="68252"/>
    <n v="41824"/>
    <n v="24"/>
    <n v="10047.52"/>
    <d v="2026-06-11T00:00:00"/>
    <n v="8"/>
  </r>
  <r>
    <s v="S139"/>
    <s v="C108"/>
    <s v="Riya"/>
    <x v="0"/>
    <x v="4"/>
    <s v="Electronics"/>
    <n v="35303"/>
    <n v="24611"/>
    <n v="29"/>
    <n v="454.13"/>
    <d v="2026-04-24T00:00:00"/>
    <n v="5"/>
  </r>
  <r>
    <s v="S140"/>
    <s v="C115"/>
    <s v="Vivek"/>
    <x v="1"/>
    <x v="0"/>
    <s v="Electronics"/>
    <n v="4083"/>
    <n v="3625"/>
    <n v="19"/>
    <n v="-317.77"/>
    <d v="2026-07-02T00:00:00"/>
    <n v="4"/>
  </r>
  <r>
    <s v="S141"/>
    <s v="C103"/>
    <s v="Amit"/>
    <x v="2"/>
    <x v="1"/>
    <s v="Accessories"/>
    <n v="2092"/>
    <n v="1461"/>
    <n v="2"/>
    <n v="589.16"/>
    <d v="2026-08-05T00:00:00"/>
    <n v="4"/>
  </r>
  <r>
    <s v="S142"/>
    <s v="C115"/>
    <s v="Vivek"/>
    <x v="0"/>
    <x v="5"/>
    <s v="Electronics"/>
    <n v="15696"/>
    <n v="11638"/>
    <n v="4"/>
    <n v="3430.16"/>
    <d v="2026-08-28T00:00:00"/>
    <n v="8"/>
  </r>
  <r>
    <s v="S143"/>
    <s v="C112"/>
    <s v="Kavya"/>
    <x v="2"/>
    <x v="1"/>
    <s v="Accessories"/>
    <n v="92759"/>
    <n v="53154"/>
    <n v="26"/>
    <n v="15487.66"/>
    <d v="2026-05-02T00:00:00"/>
    <n v="8"/>
  </r>
  <r>
    <s v="S144"/>
    <s v="C104"/>
    <s v="Neha"/>
    <x v="1"/>
    <x v="1"/>
    <s v="Accessories"/>
    <n v="19258"/>
    <n v="11990"/>
    <n v="29"/>
    <n v="1683.18"/>
    <d v="2026-05-12T00:00:00"/>
    <n v="10"/>
  </r>
  <r>
    <s v="S145"/>
    <s v="C112"/>
    <s v="Kavya"/>
    <x v="3"/>
    <x v="3"/>
    <s v="Accessories"/>
    <n v="9450"/>
    <n v="5427"/>
    <n v="25"/>
    <n v="1660.5"/>
    <d v="2026-03-30T00:00:00"/>
    <n v="7"/>
  </r>
  <r>
    <s v="S146"/>
    <s v="C115"/>
    <s v="Vivek"/>
    <x v="2"/>
    <x v="3"/>
    <s v="Accessories"/>
    <n v="636"/>
    <n v="367"/>
    <n v="9"/>
    <n v="211.76"/>
    <d v="2026-05-30T00:00:00"/>
    <n v="10"/>
  </r>
  <r>
    <s v="S147"/>
    <s v="C111"/>
    <s v="Arjun"/>
    <x v="1"/>
    <x v="3"/>
    <s v="Accessories"/>
    <n v="19776"/>
    <n v="12873"/>
    <n v="15"/>
    <n v="3936.6"/>
    <d v="2026-03-28T00:00:00"/>
    <n v="6"/>
  </r>
  <r>
    <s v="S148"/>
    <s v="C109"/>
    <s v="Dev"/>
    <x v="1"/>
    <x v="5"/>
    <s v="Electronics"/>
    <n v="42476"/>
    <n v="35735"/>
    <n v="22"/>
    <n v="-2603.7199999999998"/>
    <d v="2026-05-28T00:00:00"/>
    <n v="4"/>
  </r>
  <r>
    <s v="S149"/>
    <s v="C107"/>
    <s v="Karan"/>
    <x v="3"/>
    <x v="3"/>
    <s v="Accessories"/>
    <n v="54141"/>
    <n v="25426"/>
    <n v="23"/>
    <n v="16262.57"/>
    <d v="2026-07-01T00:00:00"/>
    <n v="8"/>
  </r>
  <r>
    <s v="S150"/>
    <s v="C115"/>
    <s v="Vivek"/>
    <x v="1"/>
    <x v="5"/>
    <s v="Electronics"/>
    <n v="87291"/>
    <n v="70406"/>
    <n v="20"/>
    <n v="-573.20000000000005"/>
    <d v="2026-05-08T00:00:00"/>
    <n v="3"/>
  </r>
  <r>
    <s v="S151"/>
    <s v="C101"/>
    <s v="Rahul"/>
    <x v="3"/>
    <x v="1"/>
    <s v="Accessories"/>
    <n v="77656"/>
    <n v="46546"/>
    <n v="3"/>
    <n v="28780.32"/>
    <d v="2026-01-27T00:00:00"/>
    <n v="8"/>
  </r>
  <r>
    <s v="S152"/>
    <s v="C109"/>
    <s v="Dev"/>
    <x v="1"/>
    <x v="0"/>
    <s v="Electronics"/>
    <n v="94992"/>
    <n v="48908"/>
    <n v="27"/>
    <n v="20436.16"/>
    <d v="2026-01-21T00:00:00"/>
    <n v="3"/>
  </r>
  <r>
    <s v="S153"/>
    <s v="C108"/>
    <s v="Riya"/>
    <x v="2"/>
    <x v="2"/>
    <s v="Electronics"/>
    <n v="81991"/>
    <n v="62453"/>
    <n v="20"/>
    <n v="3139.8"/>
    <d v="2026-08-08T00:00:00"/>
    <n v="2"/>
  </r>
  <r>
    <s v="S154"/>
    <s v="C106"/>
    <s v="Meera"/>
    <x v="1"/>
    <x v="2"/>
    <s v="Electronics"/>
    <n v="82455"/>
    <n v="63772"/>
    <n v="24"/>
    <n v="-1106.2"/>
    <d v="2026-08-13T00:00:00"/>
    <n v="8"/>
  </r>
  <r>
    <s v="S155"/>
    <s v="C109"/>
    <s v="Dev"/>
    <x v="0"/>
    <x v="1"/>
    <s v="Accessories"/>
    <n v="9268"/>
    <n v="5149"/>
    <n v="21"/>
    <n v="2172.7199999999998"/>
    <d v="2026-03-01T00:00:00"/>
    <n v="5"/>
  </r>
  <r>
    <s v="S156"/>
    <s v="C112"/>
    <s v="Kavya"/>
    <x v="0"/>
    <x v="5"/>
    <s v="Electronics"/>
    <n v="13203"/>
    <n v="10458"/>
    <n v="22"/>
    <n v="-159.66"/>
    <d v="2026-04-25T00:00:00"/>
    <n v="2"/>
  </r>
  <r>
    <s v="S157"/>
    <s v="C103"/>
    <s v="Amit"/>
    <x v="2"/>
    <x v="0"/>
    <s v="Electronics"/>
    <n v="6328"/>
    <n v="3771"/>
    <n v="1"/>
    <n v="2493.7199999999998"/>
    <d v="2026-04-03T00:00:00"/>
    <n v="5"/>
  </r>
  <r>
    <s v="S158"/>
    <s v="C106"/>
    <s v="Meera"/>
    <x v="1"/>
    <x v="4"/>
    <s v="Electronics"/>
    <n v="32307"/>
    <n v="22260"/>
    <n v="18"/>
    <n v="4231.74"/>
    <d v="2026-02-14T00:00:00"/>
    <n v="3"/>
  </r>
  <r>
    <s v="S159"/>
    <s v="C103"/>
    <s v="Amit"/>
    <x v="0"/>
    <x v="1"/>
    <s v="Accessories"/>
    <n v="50440"/>
    <n v="36764"/>
    <n v="7"/>
    <n v="10145.200000000001"/>
    <d v="2026-08-23T00:00:00"/>
    <n v="8"/>
  </r>
  <r>
    <s v="S160"/>
    <s v="C110"/>
    <s v="Isha"/>
    <x v="3"/>
    <x v="4"/>
    <s v="Electronics"/>
    <n v="60743"/>
    <n v="44771"/>
    <n v="14"/>
    <n v="7467.98"/>
    <d v="2026-06-21T00:00:00"/>
    <n v="5"/>
  </r>
  <r>
    <s v="S161"/>
    <s v="C101"/>
    <s v="Rahul"/>
    <x v="1"/>
    <x v="2"/>
    <s v="Electronics"/>
    <n v="89115"/>
    <n v="62021"/>
    <n v="2"/>
    <n v="25311.7"/>
    <d v="2026-08-31T00:00:00"/>
    <n v="8"/>
  </r>
  <r>
    <s v="S162"/>
    <s v="C106"/>
    <s v="Meera"/>
    <x v="2"/>
    <x v="6"/>
    <s v="Accessories"/>
    <n v="55915"/>
    <n v="42531"/>
    <n v="14"/>
    <n v="5555.9"/>
    <d v="2026-02-21T00:00:00"/>
    <n v="5"/>
  </r>
  <r>
    <s v="S163"/>
    <s v="C107"/>
    <s v="Karan"/>
    <x v="1"/>
    <x v="0"/>
    <s v="Electronics"/>
    <n v="31391"/>
    <n v="19513"/>
    <n v="11"/>
    <n v="8424.99"/>
    <d v="2026-03-18T00:00:00"/>
    <n v="10"/>
  </r>
  <r>
    <s v="S164"/>
    <s v="C112"/>
    <s v="Kavya"/>
    <x v="2"/>
    <x v="0"/>
    <s v="Electronics"/>
    <n v="86575"/>
    <n v="54378"/>
    <n v="0"/>
    <n v="32197"/>
    <d v="2026-08-11T00:00:00"/>
    <n v="10"/>
  </r>
  <r>
    <s v="S165"/>
    <s v="C111"/>
    <s v="Arjun"/>
    <x v="0"/>
    <x v="1"/>
    <s v="Accessories"/>
    <n v="97971"/>
    <n v="65986"/>
    <n v="28"/>
    <n v="4553.12"/>
    <d v="2026-07-19T00:00:00"/>
    <n v="5"/>
  </r>
  <r>
    <s v="S166"/>
    <s v="C113"/>
    <s v="Rohan"/>
    <x v="3"/>
    <x v="1"/>
    <s v="Accessories"/>
    <n v="46479"/>
    <n v="25496"/>
    <n v="6"/>
    <n v="18194.259999999998"/>
    <d v="2026-03-07T00:00:00"/>
    <n v="10"/>
  </r>
  <r>
    <s v="S167"/>
    <s v="C111"/>
    <s v="Arjun"/>
    <x v="3"/>
    <x v="6"/>
    <s v="Accessories"/>
    <n v="13035"/>
    <n v="11164"/>
    <n v="20"/>
    <n v="-736"/>
    <d v="2026-03-22T00:00:00"/>
    <n v="1"/>
  </r>
  <r>
    <s v="S168"/>
    <s v="C113"/>
    <s v="Rohan"/>
    <x v="1"/>
    <x v="0"/>
    <s v="Electronics"/>
    <n v="76265"/>
    <n v="46841"/>
    <n v="4"/>
    <n v="26373.4"/>
    <d v="2026-08-22T00:00:00"/>
    <n v="2"/>
  </r>
  <r>
    <s v="S169"/>
    <s v="C105"/>
    <s v="Jay"/>
    <x v="2"/>
    <x v="6"/>
    <s v="Accessories"/>
    <n v="54760"/>
    <n v="28970"/>
    <n v="4"/>
    <n v="23599.599999999999"/>
    <d v="2026-08-14T00:00:00"/>
    <n v="9"/>
  </r>
  <r>
    <s v="S170"/>
    <s v="C106"/>
    <s v="Meera"/>
    <x v="2"/>
    <x v="3"/>
    <s v="Accessories"/>
    <n v="21867"/>
    <n v="12368"/>
    <n v="26"/>
    <n v="3813.58"/>
    <d v="2026-09-06T00:00:00"/>
    <n v="8"/>
  </r>
  <r>
    <s v="S171"/>
    <s v="C113"/>
    <s v="Rohan"/>
    <x v="2"/>
    <x v="6"/>
    <s v="Accessories"/>
    <n v="44696"/>
    <n v="36288"/>
    <n v="14"/>
    <n v="2150.56"/>
    <d v="2026-02-07T00:00:00"/>
    <n v="2"/>
  </r>
  <r>
    <s v="S172"/>
    <s v="C113"/>
    <s v="Rohan"/>
    <x v="3"/>
    <x v="3"/>
    <s v="Accessories"/>
    <n v="88947"/>
    <n v="69013"/>
    <n v="12"/>
    <n v="9260.36"/>
    <d v="2026-04-05T00:00:00"/>
    <n v="9"/>
  </r>
  <r>
    <s v="S173"/>
    <s v="C102"/>
    <s v="Priya"/>
    <x v="1"/>
    <x v="0"/>
    <s v="Electronics"/>
    <n v="34963"/>
    <n v="24175"/>
    <n v="14"/>
    <n v="5893.18"/>
    <d v="2026-06-23T00:00:00"/>
    <n v="6"/>
  </r>
  <r>
    <s v="S174"/>
    <s v="C112"/>
    <s v="Kavya"/>
    <x v="2"/>
    <x v="1"/>
    <s v="Accessories"/>
    <n v="50241"/>
    <n v="41202"/>
    <n v="30"/>
    <n v="-6033.3"/>
    <d v="2026-01-29T00:00:00"/>
    <n v="6"/>
  </r>
  <r>
    <s v="S175"/>
    <s v="C111"/>
    <s v="Arjun"/>
    <x v="3"/>
    <x v="5"/>
    <s v="Electronics"/>
    <n v="3580"/>
    <n v="2609"/>
    <n v="30"/>
    <n v="-103"/>
    <d v="2026-03-26T00:00:00"/>
    <n v="9"/>
  </r>
  <r>
    <s v="S176"/>
    <s v="C115"/>
    <s v="Vivek"/>
    <x v="3"/>
    <x v="6"/>
    <s v="Accessories"/>
    <n v="8585"/>
    <n v="6317"/>
    <n v="14"/>
    <n v="1066.0999999999999"/>
    <d v="2026-06-17T00:00:00"/>
    <n v="5"/>
  </r>
  <r>
    <s v="S177"/>
    <s v="C107"/>
    <s v="Karan"/>
    <x v="0"/>
    <x v="4"/>
    <s v="Electronics"/>
    <n v="6243"/>
    <n v="5467"/>
    <n v="9"/>
    <n v="214.13"/>
    <d v="2026-01-31T00:00:00"/>
    <n v="8"/>
  </r>
  <r>
    <s v="S178"/>
    <s v="C102"/>
    <s v="Priya"/>
    <x v="3"/>
    <x v="1"/>
    <s v="Accessories"/>
    <n v="18081"/>
    <n v="11298"/>
    <n v="11"/>
    <n v="4794.09"/>
    <d v="2026-04-19T00:00:00"/>
    <n v="9"/>
  </r>
  <r>
    <s v="S179"/>
    <s v="C110"/>
    <s v="Isha"/>
    <x v="3"/>
    <x v="5"/>
    <s v="Electronics"/>
    <n v="86141"/>
    <n v="42601"/>
    <n v="15"/>
    <n v="30618.85"/>
    <d v="2026-04-16T00:00:00"/>
    <n v="10"/>
  </r>
  <r>
    <s v="S180"/>
    <s v="C105"/>
    <s v="Jay"/>
    <x v="0"/>
    <x v="6"/>
    <s v="Accessories"/>
    <n v="48866"/>
    <n v="26767"/>
    <n v="14"/>
    <n v="15257.76"/>
    <d v="2026-08-08T00:00:00"/>
    <n v="4"/>
  </r>
  <r>
    <s v="S181"/>
    <s v="C106"/>
    <s v="Meera"/>
    <x v="0"/>
    <x v="6"/>
    <s v="Accessories"/>
    <n v="48447"/>
    <n v="33671"/>
    <n v="20"/>
    <n v="5086.6000000000004"/>
    <d v="2026-01-17T00:00:00"/>
    <n v="6"/>
  </r>
  <r>
    <s v="S182"/>
    <s v="C107"/>
    <s v="Karan"/>
    <x v="2"/>
    <x v="4"/>
    <s v="Electronics"/>
    <n v="16311"/>
    <n v="14305"/>
    <n v="26"/>
    <n v="-2234.86"/>
    <d v="2026-01-25T00:00:00"/>
    <n v="8"/>
  </r>
  <r>
    <s v="S183"/>
    <s v="C111"/>
    <s v="Arjun"/>
    <x v="3"/>
    <x v="6"/>
    <s v="Accessories"/>
    <n v="84119"/>
    <n v="60457"/>
    <n v="0"/>
    <n v="23662"/>
    <d v="2026-07-22T00:00:00"/>
    <n v="1"/>
  </r>
  <r>
    <s v="S184"/>
    <s v="C106"/>
    <s v="Meera"/>
    <x v="3"/>
    <x v="4"/>
    <s v="Electronics"/>
    <n v="74300"/>
    <n v="40296"/>
    <n v="26"/>
    <n v="14686"/>
    <d v="2026-02-24T00:00:00"/>
    <n v="9"/>
  </r>
  <r>
    <s v="S185"/>
    <s v="C110"/>
    <s v="Isha"/>
    <x v="3"/>
    <x v="3"/>
    <s v="Accessories"/>
    <n v="30839"/>
    <n v="18437"/>
    <n v="4"/>
    <n v="11168.44"/>
    <d v="2026-01-02T00:00:00"/>
    <n v="10"/>
  </r>
  <r>
    <s v="S186"/>
    <s v="C105"/>
    <s v="Jay"/>
    <x v="3"/>
    <x v="4"/>
    <s v="Electronics"/>
    <n v="71107"/>
    <n v="40018"/>
    <n v="5"/>
    <n v="27533.65"/>
    <d v="2026-06-20T00:00:00"/>
    <n v="2"/>
  </r>
  <r>
    <s v="S187"/>
    <s v="C114"/>
    <s v="Anjali"/>
    <x v="0"/>
    <x v="4"/>
    <s v="Electronics"/>
    <n v="2247"/>
    <n v="1373"/>
    <n v="25"/>
    <n v="312.25"/>
    <d v="2026-06-01T00:00:00"/>
    <n v="4"/>
  </r>
  <r>
    <s v="S188"/>
    <s v="C106"/>
    <s v="Meera"/>
    <x v="0"/>
    <x v="4"/>
    <s v="Electronics"/>
    <n v="35082"/>
    <n v="16614"/>
    <n v="23"/>
    <n v="10399.14"/>
    <d v="2026-05-16T00:00:00"/>
    <n v="7"/>
  </r>
  <r>
    <s v="S189"/>
    <s v="C102"/>
    <s v="Priya"/>
    <x v="0"/>
    <x v="5"/>
    <s v="Electronics"/>
    <n v="59056"/>
    <n v="47251"/>
    <n v="16"/>
    <n v="2356.04"/>
    <d v="2026-01-29T00:00:00"/>
    <n v="10"/>
  </r>
  <r>
    <s v="S190"/>
    <s v="C108"/>
    <s v="Riya"/>
    <x v="3"/>
    <x v="1"/>
    <s v="Accessories"/>
    <n v="5983"/>
    <n v="4650"/>
    <n v="29"/>
    <n v="-402.07"/>
    <d v="2026-03-20T00:00:00"/>
    <n v="9"/>
  </r>
  <r>
    <s v="S191"/>
    <s v="C108"/>
    <s v="Riya"/>
    <x v="0"/>
    <x v="0"/>
    <s v="Electronics"/>
    <n v="63081"/>
    <n v="52438"/>
    <n v="13"/>
    <n v="2442.4699999999998"/>
    <d v="2026-05-07T00:00:00"/>
    <n v="2"/>
  </r>
  <r>
    <s v="S192"/>
    <s v="C112"/>
    <s v="Kavya"/>
    <x v="1"/>
    <x v="0"/>
    <s v="Electronics"/>
    <n v="10889"/>
    <n v="6478"/>
    <n v="4"/>
    <n v="3975.44"/>
    <d v="2026-02-03T00:00:00"/>
    <n v="2"/>
  </r>
  <r>
    <s v="S193"/>
    <s v="C105"/>
    <s v="Jay"/>
    <x v="2"/>
    <x v="5"/>
    <s v="Electronics"/>
    <n v="78601"/>
    <n v="54136"/>
    <n v="14"/>
    <n v="13460.86"/>
    <d v="2026-06-05T00:00:00"/>
    <n v="9"/>
  </r>
  <r>
    <s v="S194"/>
    <s v="C107"/>
    <s v="Karan"/>
    <x v="0"/>
    <x v="3"/>
    <s v="Accessories"/>
    <n v="92283"/>
    <n v="46278"/>
    <n v="20"/>
    <n v="27548.400000000001"/>
    <d v="2026-07-05T00:00:00"/>
    <n v="9"/>
  </r>
  <r>
    <s v="S195"/>
    <s v="C114"/>
    <s v="Anjali"/>
    <x v="3"/>
    <x v="5"/>
    <s v="Electronics"/>
    <n v="59486"/>
    <n v="50541"/>
    <n v="13"/>
    <n v="1211.82"/>
    <d v="2026-08-01T00:00:00"/>
    <n v="6"/>
  </r>
  <r>
    <s v="S196"/>
    <s v="C108"/>
    <s v="Riya"/>
    <x v="1"/>
    <x v="5"/>
    <s v="Electronics"/>
    <n v="95931"/>
    <n v="47273"/>
    <n v="13"/>
    <n v="36186.97"/>
    <d v="2026-06-21T00:00:00"/>
    <n v="6"/>
  </r>
  <r>
    <s v="S197"/>
    <s v="C105"/>
    <s v="Jay"/>
    <x v="2"/>
    <x v="4"/>
    <s v="Electronics"/>
    <n v="90323"/>
    <n v="78160"/>
    <n v="2"/>
    <n v="10356.540000000001"/>
    <d v="2026-08-02T00:00:00"/>
    <n v="2"/>
  </r>
  <r>
    <s v="S198"/>
    <s v="C102"/>
    <s v="Priya"/>
    <x v="0"/>
    <x v="5"/>
    <s v="Electronics"/>
    <n v="12956"/>
    <n v="10171"/>
    <n v="11"/>
    <n v="1359.84"/>
    <d v="2026-05-24T00:00:00"/>
    <n v="3"/>
  </r>
  <r>
    <s v="S199"/>
    <s v="C101"/>
    <s v="Rahul"/>
    <x v="2"/>
    <x v="6"/>
    <s v="Accessories"/>
    <n v="16321"/>
    <n v="10361"/>
    <n v="27"/>
    <n v="1553.33"/>
    <d v="2026-08-12T00:00:00"/>
    <n v="7"/>
  </r>
  <r>
    <s v="S200"/>
    <s v="C115"/>
    <s v="Vivek"/>
    <x v="0"/>
    <x v="2"/>
    <s v="Electronics"/>
    <n v="78996"/>
    <n v="46655"/>
    <n v="3"/>
    <n v="29971.119999999999"/>
    <d v="2026-05-11T00:00:00"/>
    <n v="10"/>
  </r>
  <r>
    <s v="S201"/>
    <s v="C104"/>
    <s v="Neha"/>
    <x v="3"/>
    <x v="6"/>
    <s v="Accessories"/>
    <n v="63501"/>
    <n v="34983"/>
    <n v="3"/>
    <n v="26612.97"/>
    <d v="2026-08-06T00:00:00"/>
    <n v="6"/>
  </r>
  <r>
    <s v="S202"/>
    <s v="C109"/>
    <s v="Dev"/>
    <x v="2"/>
    <x v="0"/>
    <s v="Electronics"/>
    <n v="36812"/>
    <n v="26075"/>
    <n v="25"/>
    <n v="1534"/>
    <d v="2026-08-06T00:00:00"/>
    <n v="7"/>
  </r>
  <r>
    <s v="S203"/>
    <s v="C109"/>
    <s v="Dev"/>
    <x v="0"/>
    <x v="1"/>
    <s v="Accessories"/>
    <n v="86523"/>
    <n v="71230"/>
    <n v="8"/>
    <n v="8371.16"/>
    <d v="2026-02-17T00:00:00"/>
    <n v="1"/>
  </r>
  <r>
    <s v="S204"/>
    <s v="C105"/>
    <s v="Jay"/>
    <x v="2"/>
    <x v="2"/>
    <s v="Electronics"/>
    <n v="46309"/>
    <n v="20966"/>
    <n v="27"/>
    <n v="12839.57"/>
    <d v="2026-05-26T00:00:00"/>
    <n v="3"/>
  </r>
  <r>
    <s v="S205"/>
    <s v="C111"/>
    <s v="Arjun"/>
    <x v="1"/>
    <x v="0"/>
    <s v="Electronics"/>
    <n v="18895"/>
    <n v="14803"/>
    <n v="0"/>
    <n v="4092"/>
    <d v="2026-07-12T00:00:00"/>
    <n v="2"/>
  </r>
  <r>
    <s v="S206"/>
    <s v="C109"/>
    <s v="Dev"/>
    <x v="3"/>
    <x v="5"/>
    <s v="Electronics"/>
    <n v="55328"/>
    <n v="36192"/>
    <n v="5"/>
    <n v="16369.6"/>
    <d v="2026-03-22T00:00:00"/>
    <n v="6"/>
  </r>
  <r>
    <s v="S207"/>
    <s v="C112"/>
    <s v="Kavya"/>
    <x v="2"/>
    <x v="3"/>
    <s v="Accessories"/>
    <n v="74695"/>
    <n v="53653"/>
    <n v="28"/>
    <n v="127.4"/>
    <d v="2026-02-10T00:00:00"/>
    <n v="1"/>
  </r>
  <r>
    <s v="S208"/>
    <s v="C103"/>
    <s v="Amit"/>
    <x v="0"/>
    <x v="6"/>
    <s v="Accessories"/>
    <n v="10993"/>
    <n v="6292"/>
    <n v="21"/>
    <n v="2392.4699999999998"/>
    <d v="2026-05-06T00:00:00"/>
    <n v="7"/>
  </r>
  <r>
    <s v="S209"/>
    <s v="C110"/>
    <s v="Isha"/>
    <x v="1"/>
    <x v="5"/>
    <s v="Electronics"/>
    <n v="36104"/>
    <n v="19749"/>
    <n v="16"/>
    <n v="10578.36"/>
    <d v="2026-03-31T00:00:00"/>
    <n v="2"/>
  </r>
  <r>
    <s v="S210"/>
    <s v="C107"/>
    <s v="Karan"/>
    <x v="0"/>
    <x v="2"/>
    <s v="Electronics"/>
    <n v="89195"/>
    <n v="67370"/>
    <n v="15"/>
    <n v="8445.75"/>
    <d v="2026-06-21T00:00:00"/>
    <n v="9"/>
  </r>
  <r>
    <s v="S211"/>
    <s v="C105"/>
    <s v="Jay"/>
    <x v="0"/>
    <x v="4"/>
    <s v="Electronics"/>
    <n v="52107"/>
    <n v="46531"/>
    <n v="1"/>
    <n v="5054.93"/>
    <d v="2026-02-23T00:00:00"/>
    <n v="1"/>
  </r>
  <r>
    <s v="S212"/>
    <s v="C105"/>
    <s v="Jay"/>
    <x v="3"/>
    <x v="3"/>
    <s v="Accessories"/>
    <n v="18287"/>
    <n v="14517"/>
    <n v="9"/>
    <n v="2124.17"/>
    <d v="2026-02-01T00:00:00"/>
    <n v="6"/>
  </r>
  <r>
    <s v="S213"/>
    <s v="C101"/>
    <s v="Rahul"/>
    <x v="1"/>
    <x v="6"/>
    <s v="Accessories"/>
    <n v="56746"/>
    <n v="30022"/>
    <n v="12"/>
    <n v="19914.48"/>
    <d v="2026-07-01T00:00:00"/>
    <n v="9"/>
  </r>
  <r>
    <s v="S214"/>
    <s v="C104"/>
    <s v="Neha"/>
    <x v="2"/>
    <x v="0"/>
    <s v="Electronics"/>
    <n v="52344"/>
    <n v="43853"/>
    <n v="1"/>
    <n v="7967.56"/>
    <d v="2026-01-06T00:00:00"/>
    <n v="7"/>
  </r>
  <r>
    <s v="S215"/>
    <s v="C108"/>
    <s v="Riya"/>
    <x v="0"/>
    <x v="3"/>
    <s v="Accessories"/>
    <n v="41333"/>
    <n v="29308"/>
    <n v="18"/>
    <n v="4585.0600000000004"/>
    <d v="2026-07-02T00:00:00"/>
    <n v="7"/>
  </r>
  <r>
    <s v="S216"/>
    <s v="C111"/>
    <s v="Arjun"/>
    <x v="1"/>
    <x v="2"/>
    <s v="Electronics"/>
    <n v="15396"/>
    <n v="9734"/>
    <n v="30"/>
    <n v="1043.2"/>
    <d v="2026-02-14T00:00:00"/>
    <n v="6"/>
  </r>
  <r>
    <s v="S217"/>
    <s v="C113"/>
    <s v="Rohan"/>
    <x v="1"/>
    <x v="3"/>
    <s v="Accessories"/>
    <n v="90688"/>
    <n v="78345"/>
    <n v="2"/>
    <n v="10529.24"/>
    <d v="2026-08-06T00:00:00"/>
    <n v="7"/>
  </r>
  <r>
    <s v="S218"/>
    <s v="C102"/>
    <s v="Priya"/>
    <x v="3"/>
    <x v="5"/>
    <s v="Electronics"/>
    <n v="77484"/>
    <n v="48830"/>
    <n v="2"/>
    <n v="27104.32"/>
    <d v="2026-08-12T00:00:00"/>
    <n v="7"/>
  </r>
  <r>
    <s v="S219"/>
    <s v="C105"/>
    <s v="Jay"/>
    <x v="2"/>
    <x v="4"/>
    <s v="Electronics"/>
    <n v="43955"/>
    <n v="35190"/>
    <n v="2"/>
    <n v="7885.9"/>
    <d v="2026-06-13T00:00:00"/>
    <n v="9"/>
  </r>
  <r>
    <s v="S220"/>
    <s v="C102"/>
    <s v="Priya"/>
    <x v="3"/>
    <x v="3"/>
    <s v="Accessories"/>
    <n v="46093"/>
    <n v="28024"/>
    <n v="30"/>
    <n v="4241.1000000000004"/>
    <d v="2026-03-03T00:00:00"/>
    <n v="3"/>
  </r>
  <r>
    <s v="S221"/>
    <s v="C102"/>
    <s v="Priya"/>
    <x v="3"/>
    <x v="2"/>
    <s v="Electronics"/>
    <n v="26156"/>
    <n v="13812"/>
    <n v="4"/>
    <n v="11297.76"/>
    <d v="2026-02-16T00:00:00"/>
    <n v="2"/>
  </r>
  <r>
    <s v="S222"/>
    <s v="C113"/>
    <s v="Rohan"/>
    <x v="1"/>
    <x v="5"/>
    <s v="Electronics"/>
    <n v="99186"/>
    <n v="69795"/>
    <n v="18"/>
    <n v="11537.52"/>
    <d v="2026-06-25T00:00:00"/>
    <n v="8"/>
  </r>
  <r>
    <s v="S223"/>
    <s v="C115"/>
    <s v="Vivek"/>
    <x v="2"/>
    <x v="3"/>
    <s v="Accessories"/>
    <n v="82510"/>
    <n v="48867"/>
    <n v="14"/>
    <n v="22091.599999999999"/>
    <d v="2026-05-02T00:00:00"/>
    <n v="2"/>
  </r>
  <r>
    <s v="S224"/>
    <s v="C108"/>
    <s v="Riya"/>
    <x v="2"/>
    <x v="3"/>
    <s v="Accessories"/>
    <n v="36302"/>
    <n v="25997"/>
    <n v="11"/>
    <n v="6311.78"/>
    <d v="2026-01-20T00:00:00"/>
    <n v="9"/>
  </r>
  <r>
    <s v="S225"/>
    <s v="C105"/>
    <s v="Jay"/>
    <x v="1"/>
    <x v="5"/>
    <s v="Electronics"/>
    <n v="5229"/>
    <n v="2486"/>
    <n v="26"/>
    <n v="1383.46"/>
    <d v="2026-01-21T00:00:00"/>
    <n v="5"/>
  </r>
  <r>
    <s v="S226"/>
    <s v="C111"/>
    <s v="Arjun"/>
    <x v="0"/>
    <x v="1"/>
    <s v="Accessories"/>
    <n v="78167"/>
    <n v="53011"/>
    <n v="14"/>
    <n v="14212.62"/>
    <d v="2026-05-23T00:00:00"/>
    <n v="10"/>
  </r>
  <r>
    <s v="S227"/>
    <s v="C113"/>
    <s v="Rohan"/>
    <x v="0"/>
    <x v="5"/>
    <s v="Electronics"/>
    <n v="75228"/>
    <n v="55918"/>
    <n v="10"/>
    <n v="11787.2"/>
    <d v="2026-05-03T00:00:00"/>
    <n v="10"/>
  </r>
  <r>
    <s v="S228"/>
    <s v="C109"/>
    <s v="Dev"/>
    <x v="3"/>
    <x v="0"/>
    <s v="Electronics"/>
    <n v="59350"/>
    <n v="29471"/>
    <n v="28"/>
    <n v="13261"/>
    <d v="2026-07-03T00:00:00"/>
    <n v="6"/>
  </r>
  <r>
    <s v="S229"/>
    <s v="C102"/>
    <s v="Priya"/>
    <x v="3"/>
    <x v="0"/>
    <s v="Electronics"/>
    <n v="32772"/>
    <n v="25182"/>
    <n v="14"/>
    <n v="3001.92"/>
    <d v="2026-05-15T00:00:00"/>
    <n v="9"/>
  </r>
  <r>
    <s v="S230"/>
    <s v="C110"/>
    <s v="Isha"/>
    <x v="3"/>
    <x v="2"/>
    <s v="Electronics"/>
    <n v="49170"/>
    <n v="42437"/>
    <n v="12"/>
    <n v="832.6"/>
    <d v="2026-07-19T00:00:00"/>
    <n v="7"/>
  </r>
  <r>
    <s v="S231"/>
    <s v="C106"/>
    <s v="Meera"/>
    <x v="0"/>
    <x v="3"/>
    <s v="Accessories"/>
    <n v="82991"/>
    <n v="61520"/>
    <n v="2"/>
    <n v="19811.18"/>
    <d v="2026-01-26T00:00:00"/>
    <n v="6"/>
  </r>
  <r>
    <s v="S232"/>
    <s v="C109"/>
    <s v="Dev"/>
    <x v="1"/>
    <x v="2"/>
    <s v="Electronics"/>
    <n v="33329"/>
    <n v="25852"/>
    <n v="21"/>
    <n v="477.91"/>
    <d v="2026-08-13T00:00:00"/>
    <n v="10"/>
  </r>
  <r>
    <s v="S233"/>
    <s v="C103"/>
    <s v="Amit"/>
    <x v="2"/>
    <x v="0"/>
    <s v="Electronics"/>
    <n v="76680"/>
    <n v="57404"/>
    <n v="29"/>
    <n v="-2961.2"/>
    <d v="2026-03-22T00:00:00"/>
    <n v="6"/>
  </r>
  <r>
    <s v="S234"/>
    <s v="C111"/>
    <s v="Arjun"/>
    <x v="1"/>
    <x v="4"/>
    <s v="Electronics"/>
    <n v="78293"/>
    <n v="60205"/>
    <n v="2"/>
    <n v="16522.14"/>
    <d v="2026-05-25T00:00:00"/>
    <n v="5"/>
  </r>
  <r>
    <s v="S235"/>
    <s v="C107"/>
    <s v="Karan"/>
    <x v="2"/>
    <x v="3"/>
    <s v="Accessories"/>
    <n v="17050"/>
    <n v="12813"/>
    <n v="26"/>
    <n v="-196"/>
    <d v="2026-01-25T00:00:00"/>
    <n v="9"/>
  </r>
  <r>
    <s v="S236"/>
    <s v="C111"/>
    <s v="Arjun"/>
    <x v="1"/>
    <x v="1"/>
    <s v="Accessories"/>
    <n v="47725"/>
    <n v="21867"/>
    <n v="9"/>
    <n v="21562.75"/>
    <d v="2026-09-02T00:00:00"/>
    <n v="3"/>
  </r>
  <r>
    <s v="S237"/>
    <s v="C104"/>
    <s v="Neha"/>
    <x v="2"/>
    <x v="3"/>
    <s v="Accessories"/>
    <n v="64036"/>
    <n v="34349"/>
    <n v="4"/>
    <n v="27125.56"/>
    <d v="2026-01-21T00:00:00"/>
    <n v="3"/>
  </r>
  <r>
    <s v="S238"/>
    <s v="C105"/>
    <s v="Jay"/>
    <x v="0"/>
    <x v="1"/>
    <s v="Accessories"/>
    <n v="71048"/>
    <n v="58671"/>
    <n v="28"/>
    <n v="-7516.44"/>
    <d v="2026-01-11T00:00:00"/>
    <n v="9"/>
  </r>
  <r>
    <s v="S239"/>
    <s v="C111"/>
    <s v="Arjun"/>
    <x v="2"/>
    <x v="3"/>
    <s v="Accessories"/>
    <n v="81306"/>
    <n v="41382"/>
    <n v="12"/>
    <n v="30167.279999999999"/>
    <d v="2026-02-12T00:00:00"/>
    <n v="3"/>
  </r>
  <r>
    <s v="S240"/>
    <s v="C103"/>
    <s v="Amit"/>
    <x v="3"/>
    <x v="6"/>
    <s v="Accessories"/>
    <n v="57666"/>
    <n v="27083"/>
    <n v="11"/>
    <n v="24239.74"/>
    <d v="2026-09-07T00:00:00"/>
    <n v="4"/>
  </r>
  <r>
    <s v="S241"/>
    <s v="C108"/>
    <s v="Riya"/>
    <x v="2"/>
    <x v="3"/>
    <s v="Accessories"/>
    <n v="98412"/>
    <n v="78996"/>
    <n v="7"/>
    <n v="12527.16"/>
    <d v="2026-03-04T00:00:00"/>
    <n v="9"/>
  </r>
  <r>
    <s v="S242"/>
    <s v="C105"/>
    <s v="Jay"/>
    <x v="1"/>
    <x v="3"/>
    <s v="Accessories"/>
    <n v="25730"/>
    <n v="15837"/>
    <n v="30"/>
    <n v="2174"/>
    <d v="2026-04-24T00:00:00"/>
    <n v="10"/>
  </r>
  <r>
    <s v="S243"/>
    <s v="C108"/>
    <s v="Riya"/>
    <x v="2"/>
    <x v="3"/>
    <s v="Accessories"/>
    <n v="50352"/>
    <n v="34053"/>
    <n v="13"/>
    <n v="9753.24"/>
    <d v="2026-07-30T00:00:00"/>
    <n v="3"/>
  </r>
  <r>
    <s v="S244"/>
    <s v="C104"/>
    <s v="Neha"/>
    <x v="3"/>
    <x v="3"/>
    <s v="Accessories"/>
    <n v="33068"/>
    <n v="15657"/>
    <n v="15"/>
    <n v="12450.8"/>
    <d v="2026-05-23T00:00:00"/>
    <n v="6"/>
  </r>
  <r>
    <s v="S245"/>
    <s v="C115"/>
    <s v="Vivek"/>
    <x v="0"/>
    <x v="6"/>
    <s v="Accessories"/>
    <n v="67921"/>
    <n v="56579"/>
    <n v="9"/>
    <n v="5229.1099999999997"/>
    <d v="2026-07-16T00:00:00"/>
    <n v="2"/>
  </r>
  <r>
    <s v="S246"/>
    <s v="C103"/>
    <s v="Amit"/>
    <x v="2"/>
    <x v="5"/>
    <s v="Electronics"/>
    <n v="67586"/>
    <n v="34895"/>
    <n v="13"/>
    <n v="23904.82"/>
    <d v="2026-09-01T00:00:00"/>
    <n v="2"/>
  </r>
  <r>
    <s v="S247"/>
    <s v="C115"/>
    <s v="Vivek"/>
    <x v="3"/>
    <x v="3"/>
    <s v="Accessories"/>
    <n v="59430"/>
    <n v="50401"/>
    <n v="29"/>
    <n v="-8205.7000000000007"/>
    <d v="2026-04-18T00:00:00"/>
    <n v="1"/>
  </r>
  <r>
    <s v="S248"/>
    <s v="C101"/>
    <s v="Rahul"/>
    <x v="1"/>
    <x v="1"/>
    <s v="Accessories"/>
    <n v="49315"/>
    <n v="27424"/>
    <n v="2"/>
    <n v="20904.7"/>
    <d v="2026-02-28T00:00:00"/>
    <n v="6"/>
  </r>
  <r>
    <s v="S249"/>
    <s v="C101"/>
    <s v="Rahul"/>
    <x v="2"/>
    <x v="0"/>
    <s v="Electronics"/>
    <n v="93977"/>
    <n v="69776"/>
    <n v="25"/>
    <n v="706.75"/>
    <d v="2026-02-06T00:00:00"/>
    <n v="3"/>
  </r>
  <r>
    <s v="S250"/>
    <s v="C101"/>
    <s v="Rahul"/>
    <x v="2"/>
    <x v="3"/>
    <s v="Accessories"/>
    <n v="62225"/>
    <n v="47492"/>
    <n v="4"/>
    <n v="12244"/>
    <d v="2026-04-26T00:00:0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4240E-4071-4E74-922E-D21EF4564F1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Q8" firstHeaderRow="1" firstDataRow="3" firstDataCol="1"/>
  <pivotFields count="12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8">
        <item x="3"/>
        <item x="1"/>
        <item x="0"/>
        <item x="4"/>
        <item x="5"/>
        <item x="6"/>
        <item x="2"/>
        <item t="default"/>
      </items>
    </pivotField>
    <pivotField showAll="0"/>
    <pivotField dataField="1" numFmtId="4" showAll="0"/>
    <pivotField numFmtId="4" showAll="0"/>
    <pivotField showAll="0"/>
    <pivotField numFmtId="4" showAll="0"/>
    <pivotField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Sales" fld="6" baseField="0" baseItem="0" numFmtId="4"/>
    <dataField name="Sum of Sales2" fld="6" baseField="0" baseItem="0" numFmtId="4"/>
  </dataFields>
  <formats count="44">
    <format dxfId="43">
      <pivotArea outline="0" collapsedLevelsAreSubtotals="1" fieldPosition="0"/>
    </format>
    <format dxfId="42">
      <pivotArea type="all" dataOnly="0" outline="0" fieldPosition="0"/>
    </format>
    <format dxfId="41">
      <pivotArea grandRow="1" outline="0" collapsedLevelsAreSubtotals="1" fieldPosition="0"/>
    </format>
    <format dxfId="40">
      <pivotArea dataOnly="0" labelOnly="1" grandRow="1" outline="0" fieldPosition="0"/>
    </format>
    <format dxfId="39">
      <pivotArea type="origin" dataOnly="0" labelOnly="1" outline="0" offset="A2" fieldPosition="0"/>
    </format>
    <format dxfId="38">
      <pivotArea field="3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4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3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3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5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6"/>
          </reference>
        </references>
      </pivotArea>
    </format>
    <format dxfId="27">
      <pivotArea field="4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2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">
      <pivotArea field="4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2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format>
    <format dxfId="20">
      <pivotArea dataOnly="0" labelOnly="1" offset="A256" fieldPosition="0">
        <references count="1">
          <reference field="4" count="1">
            <x v="6"/>
          </reference>
        </references>
      </pivotArea>
    </format>
    <format dxfId="19">
      <pivotArea dataOnly="0" labelOnly="1" outline="0" fieldPosition="0">
        <references count="2">
          <reference field="4294967294" count="1">
            <x v="0"/>
          </reference>
          <reference field="4" count="1" selected="0">
            <x v="6"/>
          </reference>
        </references>
      </pivotArea>
    </format>
    <format dxfId="18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format>
    <format dxfId="17">
      <pivotArea dataOnly="0" labelOnly="1" offset="A256" fieldPosition="0">
        <references count="1">
          <reference field="4" count="1"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>
            <x v="0"/>
          </reference>
          <reference field="4" count="1" selected="0">
            <x v="5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format>
    <format dxfId="14">
      <pivotArea dataOnly="0" labelOnly="1" offset="A256" fieldPosition="0">
        <references count="1">
          <reference field="4" count="1">
            <x v="4"/>
          </reference>
        </references>
      </pivotArea>
    </format>
    <format dxfId="13">
      <pivotArea dataOnly="0" labelOnly="1" outline="0" fieldPosition="0">
        <references count="2">
          <reference field="4294967294" count="1">
            <x v="0"/>
          </reference>
          <reference field="4" count="1" selected="0">
            <x v="4"/>
          </reference>
        </references>
      </pivotArea>
    </format>
    <format dxfId="12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format>
    <format dxfId="11">
      <pivotArea dataOnly="0" labelOnly="1" offset="A256" fieldPosition="0">
        <references count="1">
          <reference field="4" count="1">
            <x v="3"/>
          </reference>
        </references>
      </pivotArea>
    </format>
    <format dxfId="10">
      <pivotArea dataOnly="0" labelOnly="1" outline="0" fieldPosition="0">
        <references count="2">
          <reference field="4294967294" count="1">
            <x v="0"/>
          </reference>
          <reference field="4" count="1" selected="0">
            <x v="3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format>
    <format dxfId="8">
      <pivotArea dataOnly="0" labelOnly="1" offset="A256" fieldPosition="0">
        <references count="1">
          <reference field="4" count="1">
            <x v="2"/>
          </reference>
        </references>
      </pivotArea>
    </format>
    <format dxfId="7">
      <pivotArea dataOnly="0" labelOnly="1" outline="0" fieldPosition="0">
        <references count="2">
          <reference field="4294967294" count="1">
            <x v="0"/>
          </reference>
          <reference field="4" count="1" selected="0">
            <x v="2"/>
          </reference>
        </references>
      </pivotArea>
    </format>
    <format dxfId="6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format>
    <format dxfId="5">
      <pivotArea dataOnly="0" labelOnly="1" offset="A256" fieldPosition="0">
        <references count="1">
          <reference field="4" count="1">
            <x v="1"/>
          </reference>
        </references>
      </pivotArea>
    </format>
    <format dxfId="4">
      <pivotArea dataOnly="0" labelOnly="1" outline="0" fieldPosition="0">
        <references count="2">
          <reference field="4294967294" count="1">
            <x v="0"/>
          </reference>
          <reference field="4" count="1" selected="0">
            <x v="1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format>
    <format dxfId="2">
      <pivotArea dataOnly="0" labelOnly="1" offset="A256" fieldPosition="0">
        <references count="1">
          <reference field="4" count="1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0"/>
          </reference>
          <reference field="4" count="1" selected="0">
            <x v="0"/>
          </reference>
        </references>
      </pivotArea>
    </format>
    <format dxfId="0">
      <pivotArea dataOnly="0" grandRow="1" axis="axisRow" fieldPosition="0"/>
    </format>
  </formats>
  <chartFormats count="182"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4" format="2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4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4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4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5"/>
          </reference>
        </references>
      </pivotArea>
    </chartFormat>
    <chartFormat chart="4" format="58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4" format="59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4" format="60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4" format="61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5"/>
          </reference>
        </references>
      </pivotArea>
    </chartFormat>
    <chartFormat chart="4" format="6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4" format="6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4" format="6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4" format="6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6"/>
          </reference>
        </references>
      </pivotArea>
    </chartFormat>
    <chartFormat chart="4" format="6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4" format="6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4" format="6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4" format="6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6"/>
          </reference>
        </references>
      </pivotArea>
    </chartFormat>
    <chartFormat chart="17" format="1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7" format="14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7" format="14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14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1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17" format="14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7" format="14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0"/>
          </reference>
        </references>
      </pivotArea>
    </chartFormat>
    <chartFormat chart="17" format="14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0"/>
          </reference>
        </references>
      </pivotArea>
    </chartFormat>
    <chartFormat chart="17" format="14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0"/>
          </reference>
        </references>
      </pivotArea>
    </chartFormat>
    <chartFormat chart="17" format="14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0"/>
          </reference>
        </references>
      </pivotArea>
    </chartFormat>
    <chartFormat chart="17" format="15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7" format="15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7" format="1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15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15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17" format="15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7" format="15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1"/>
          </reference>
        </references>
      </pivotArea>
    </chartFormat>
    <chartFormat chart="17" format="15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1"/>
          </reference>
        </references>
      </pivotArea>
    </chartFormat>
    <chartFormat chart="17" format="15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1"/>
          </reference>
        </references>
      </pivotArea>
    </chartFormat>
    <chartFormat chart="17" format="15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1"/>
          </reference>
        </references>
      </pivotArea>
    </chartFormat>
    <chartFormat chart="17" format="16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7" format="16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7" format="16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16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16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17" format="16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17" format="16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2"/>
          </reference>
        </references>
      </pivotArea>
    </chartFormat>
    <chartFormat chart="17" format="16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2"/>
          </reference>
        </references>
      </pivotArea>
    </chartFormat>
    <chartFormat chart="17" format="16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2"/>
          </reference>
        </references>
      </pivotArea>
    </chartFormat>
    <chartFormat chart="17" format="16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2"/>
          </reference>
        </references>
      </pivotArea>
    </chartFormat>
    <chartFormat chart="17" format="17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7" format="17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7" format="17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17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17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17" format="17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17" format="17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3"/>
          </reference>
        </references>
      </pivotArea>
    </chartFormat>
    <chartFormat chart="17" format="17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3"/>
          </reference>
        </references>
      </pivotArea>
    </chartFormat>
    <chartFormat chart="17" format="17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3"/>
          </reference>
        </references>
      </pivotArea>
    </chartFormat>
    <chartFormat chart="17" format="17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3"/>
          </reference>
        </references>
      </pivotArea>
    </chartFormat>
    <chartFormat chart="17" format="18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7" format="18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17" format="18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18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18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17" format="18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17" format="18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4"/>
          </reference>
        </references>
      </pivotArea>
    </chartFormat>
    <chartFormat chart="17" format="18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4"/>
          </reference>
        </references>
      </pivotArea>
    </chartFormat>
    <chartFormat chart="17" format="18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4"/>
          </reference>
        </references>
      </pivotArea>
    </chartFormat>
    <chartFormat chart="17" format="18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4"/>
          </reference>
        </references>
      </pivotArea>
    </chartFormat>
    <chartFormat chart="17" format="19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7" format="19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17" format="19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9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5"/>
          </reference>
        </references>
      </pivotArea>
    </chartFormat>
    <chartFormat chart="17" format="19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7" format="19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5"/>
          </reference>
        </references>
      </pivotArea>
    </chartFormat>
    <chartFormat chart="17" format="19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5"/>
          </reference>
        </references>
      </pivotArea>
    </chartFormat>
    <chartFormat chart="17" format="19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5"/>
          </reference>
        </references>
      </pivotArea>
    </chartFormat>
    <chartFormat chart="17" format="19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5"/>
          </reference>
        </references>
      </pivotArea>
    </chartFormat>
    <chartFormat chart="17" format="20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7" format="20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20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20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2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4" count="1" selected="0">
            <x v="6"/>
          </reference>
        </references>
      </pivotArea>
    </chartFormat>
    <chartFormat chart="17" format="20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17" format="206">
      <pivotArea type="data"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4" count="1" selected="0">
            <x v="6"/>
          </reference>
        </references>
      </pivotArea>
    </chartFormat>
    <chartFormat chart="17" format="207">
      <pivotArea type="data"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4" count="1" selected="0">
            <x v="6"/>
          </reference>
        </references>
      </pivotArea>
    </chartFormat>
    <chartFormat chart="17" format="208">
      <pivotArea type="data" outline="0" fieldPosition="0">
        <references count="3">
          <reference field="4294967294" count="1" selected="0">
            <x v="1"/>
          </reference>
          <reference field="3" count="1" selected="0">
            <x v="2"/>
          </reference>
          <reference field="4" count="1" selected="0">
            <x v="6"/>
          </reference>
        </references>
      </pivotArea>
    </chartFormat>
    <chartFormat chart="17" format="209">
      <pivotArea type="data" outline="0" fieldPosition="0">
        <references count="3">
          <reference field="4294967294" count="1" selected="0">
            <x v="1"/>
          </reference>
          <reference field="3" count="1" selected="0">
            <x v="3"/>
          </reference>
          <reference field="4" count="1" selected="0">
            <x v="6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1" format="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1" format="1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3" format="2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2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3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3" format="3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3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3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3" format="3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3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3" format="3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3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3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4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DE86E-C538-4539-BDF1-3BB6D57B34FD}" name="Table1" displayName="Table1" ref="A1:L251" totalsRowShown="0" headerRowDxfId="50" headerRowBorderDxfId="49" tableBorderDxfId="48">
  <autoFilter ref="A1:L251" xr:uid="{00000000-0009-0000-0000-000000000000}"/>
  <tableColumns count="12">
    <tableColumn id="1" xr3:uid="{D5EEE55A-228F-4600-A64A-970506933E7D}" name="SaleID"/>
    <tableColumn id="2" xr3:uid="{0AAFCA43-6CAB-488C-BEB8-29335A52D5C6}" name="CustomerID"/>
    <tableColumn id="3" xr3:uid="{B75E303E-2EE0-48E0-8D30-0182C5622AC8}" name="CustomerName"/>
    <tableColumn id="4" xr3:uid="{2C76725C-8088-4C24-97DE-64FF38C06C7E}" name="Region"/>
    <tableColumn id="5" xr3:uid="{FC286C26-82EE-4E95-AFD4-4E527BBA0A1E}" name="Product"/>
    <tableColumn id="6" xr3:uid="{C8B4ABBC-A4FA-4E60-A151-29C4C16743FF}" name="Category"/>
    <tableColumn id="7" xr3:uid="{D5211589-62A3-4A75-B800-07F5868F172F}" name="Sales" dataDxfId="47"/>
    <tableColumn id="8" xr3:uid="{0F273591-1554-4DCF-8B9A-60717B433AD8}" name="Cost" dataDxfId="46"/>
    <tableColumn id="9" xr3:uid="{97F1C41F-E065-42FE-B912-C22DBB79747D}" name="Discount"/>
    <tableColumn id="10" xr3:uid="{F1CB76F9-03DC-4B31-BC31-1074C98D2920}" name="Profit" dataDxfId="45"/>
    <tableColumn id="11" xr3:uid="{4ED17797-DEC2-4881-8554-26C19CE2A0B1}" name="Date" dataDxfId="44"/>
    <tableColumn id="12" xr3:uid="{5DAAA515-2A88-41BD-9133-C3103A19D200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zoomScale="115" zoomScaleNormal="92" workbookViewId="0">
      <pane ySplit="1" topLeftCell="A2" activePane="bottomLeft" state="frozen"/>
      <selection pane="bottomLeft" sqref="A1:L251"/>
    </sheetView>
  </sheetViews>
  <sheetFormatPr defaultRowHeight="14.4" x14ac:dyDescent="0.3"/>
  <cols>
    <col min="1" max="1" width="10" customWidth="1"/>
    <col min="2" max="2" width="13" customWidth="1"/>
    <col min="3" max="3" width="16.33203125" customWidth="1"/>
    <col min="4" max="4" width="12" customWidth="1"/>
    <col min="5" max="6" width="15" customWidth="1"/>
    <col min="7" max="8" width="14" customWidth="1"/>
    <col min="9" max="9" width="12" customWidth="1"/>
    <col min="10" max="11" width="14" customWidth="1"/>
    <col min="12" max="12" width="10.777343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97496</v>
      </c>
      <c r="H2" s="1">
        <v>55939</v>
      </c>
      <c r="I2">
        <v>7</v>
      </c>
      <c r="J2" s="1">
        <v>34732.28</v>
      </c>
      <c r="K2" s="2">
        <v>46212</v>
      </c>
      <c r="L2">
        <v>3</v>
      </c>
    </row>
    <row r="3" spans="1:12" x14ac:dyDescent="0.3">
      <c r="A3" t="s">
        <v>18</v>
      </c>
      <c r="B3" t="s">
        <v>19</v>
      </c>
      <c r="C3" t="s">
        <v>20</v>
      </c>
      <c r="D3" t="s">
        <v>15</v>
      </c>
      <c r="E3" t="s">
        <v>21</v>
      </c>
      <c r="F3" t="s">
        <v>22</v>
      </c>
      <c r="G3" s="1">
        <v>55602</v>
      </c>
      <c r="H3" s="1">
        <v>25816</v>
      </c>
      <c r="I3">
        <v>2</v>
      </c>
      <c r="J3" s="1">
        <v>28673.96</v>
      </c>
      <c r="K3" s="2">
        <v>46083</v>
      </c>
      <c r="L3">
        <v>4</v>
      </c>
    </row>
    <row r="4" spans="1:12" x14ac:dyDescent="0.3">
      <c r="A4" t="s">
        <v>23</v>
      </c>
      <c r="B4" t="s">
        <v>24</v>
      </c>
      <c r="C4" t="s">
        <v>25</v>
      </c>
      <c r="D4" t="s">
        <v>15</v>
      </c>
      <c r="E4" t="s">
        <v>21</v>
      </c>
      <c r="F4" t="s">
        <v>22</v>
      </c>
      <c r="G4" s="1">
        <v>26362</v>
      </c>
      <c r="H4" s="1">
        <v>20356</v>
      </c>
      <c r="I4">
        <v>22</v>
      </c>
      <c r="J4" s="1">
        <v>206.36</v>
      </c>
      <c r="K4" s="2">
        <v>46131</v>
      </c>
      <c r="L4">
        <v>9</v>
      </c>
    </row>
    <row r="5" spans="1:12" x14ac:dyDescent="0.3">
      <c r="A5" t="s">
        <v>26</v>
      </c>
      <c r="B5" t="s">
        <v>27</v>
      </c>
      <c r="C5" t="s">
        <v>28</v>
      </c>
      <c r="D5" t="s">
        <v>29</v>
      </c>
      <c r="E5" t="s">
        <v>21</v>
      </c>
      <c r="F5" t="s">
        <v>22</v>
      </c>
      <c r="G5" s="1">
        <v>36763</v>
      </c>
      <c r="H5" s="1">
        <v>29934</v>
      </c>
      <c r="I5">
        <v>0</v>
      </c>
      <c r="J5" s="1">
        <v>6829</v>
      </c>
      <c r="K5" s="2">
        <v>46202</v>
      </c>
      <c r="L5">
        <v>3</v>
      </c>
    </row>
    <row r="6" spans="1:12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  <c r="G6" s="1">
        <v>20679</v>
      </c>
      <c r="H6" s="1">
        <v>11309</v>
      </c>
      <c r="I6">
        <v>24</v>
      </c>
      <c r="J6" s="1">
        <v>4407.04</v>
      </c>
      <c r="K6" s="2">
        <v>46050</v>
      </c>
      <c r="L6">
        <v>6</v>
      </c>
    </row>
    <row r="7" spans="1:12" x14ac:dyDescent="0.3">
      <c r="A7" t="s">
        <v>35</v>
      </c>
      <c r="B7" t="s">
        <v>19</v>
      </c>
      <c r="C7" t="s">
        <v>20</v>
      </c>
      <c r="D7" t="s">
        <v>29</v>
      </c>
      <c r="E7" t="s">
        <v>16</v>
      </c>
      <c r="F7" t="s">
        <v>17</v>
      </c>
      <c r="G7" s="1">
        <v>47352</v>
      </c>
      <c r="H7" s="1">
        <v>39367</v>
      </c>
      <c r="I7">
        <v>19</v>
      </c>
      <c r="J7" s="1">
        <v>-1011.88</v>
      </c>
      <c r="K7" s="2">
        <v>46230</v>
      </c>
      <c r="L7">
        <v>5</v>
      </c>
    </row>
    <row r="8" spans="1:12" x14ac:dyDescent="0.3">
      <c r="A8" t="s">
        <v>36</v>
      </c>
      <c r="B8" t="s">
        <v>37</v>
      </c>
      <c r="C8" t="s">
        <v>38</v>
      </c>
      <c r="D8" t="s">
        <v>29</v>
      </c>
      <c r="E8" t="s">
        <v>21</v>
      </c>
      <c r="F8" t="s">
        <v>22</v>
      </c>
      <c r="G8" s="1">
        <v>16661</v>
      </c>
      <c r="H8" s="1">
        <v>14793</v>
      </c>
      <c r="I8">
        <v>12</v>
      </c>
      <c r="J8" s="1">
        <v>-131.32</v>
      </c>
      <c r="K8" s="2">
        <v>46165</v>
      </c>
      <c r="L8">
        <v>2</v>
      </c>
    </row>
    <row r="9" spans="1:12" x14ac:dyDescent="0.3">
      <c r="A9" t="s">
        <v>39</v>
      </c>
      <c r="B9" t="s">
        <v>40</v>
      </c>
      <c r="C9" t="s">
        <v>41</v>
      </c>
      <c r="D9" t="s">
        <v>33</v>
      </c>
      <c r="E9" t="s">
        <v>21</v>
      </c>
      <c r="F9" t="s">
        <v>22</v>
      </c>
      <c r="G9" s="1">
        <v>25503</v>
      </c>
      <c r="H9" s="1">
        <v>19562</v>
      </c>
      <c r="I9">
        <v>1</v>
      </c>
      <c r="J9" s="1">
        <v>5685.97</v>
      </c>
      <c r="K9" s="2">
        <v>46221</v>
      </c>
      <c r="L9">
        <v>4</v>
      </c>
    </row>
    <row r="10" spans="1:12" x14ac:dyDescent="0.3">
      <c r="A10" t="s">
        <v>42</v>
      </c>
      <c r="B10" t="s">
        <v>40</v>
      </c>
      <c r="C10" t="s">
        <v>41</v>
      </c>
      <c r="D10" t="s">
        <v>15</v>
      </c>
      <c r="E10" t="s">
        <v>43</v>
      </c>
      <c r="F10" t="s">
        <v>22</v>
      </c>
      <c r="G10" s="1">
        <v>30812</v>
      </c>
      <c r="H10" s="1">
        <v>25879</v>
      </c>
      <c r="I10">
        <v>12</v>
      </c>
      <c r="J10" s="1">
        <v>1235.56</v>
      </c>
      <c r="K10" s="2">
        <v>46140</v>
      </c>
      <c r="L10">
        <v>5</v>
      </c>
    </row>
    <row r="11" spans="1:12" x14ac:dyDescent="0.3">
      <c r="A11" t="s">
        <v>44</v>
      </c>
      <c r="B11" t="s">
        <v>13</v>
      </c>
      <c r="C11" t="s">
        <v>14</v>
      </c>
      <c r="D11" t="s">
        <v>33</v>
      </c>
      <c r="E11" t="s">
        <v>45</v>
      </c>
      <c r="F11" t="s">
        <v>17</v>
      </c>
      <c r="G11" s="1">
        <v>48820</v>
      </c>
      <c r="H11" s="1">
        <v>29773</v>
      </c>
      <c r="I11">
        <v>21</v>
      </c>
      <c r="J11" s="1">
        <v>8794.7999999999993</v>
      </c>
      <c r="K11" s="2">
        <v>46203</v>
      </c>
      <c r="L11">
        <v>5</v>
      </c>
    </row>
    <row r="12" spans="1:12" x14ac:dyDescent="0.3">
      <c r="A12" t="s">
        <v>46</v>
      </c>
      <c r="B12" t="s">
        <v>47</v>
      </c>
      <c r="C12" t="s">
        <v>48</v>
      </c>
      <c r="D12" t="s">
        <v>15</v>
      </c>
      <c r="E12" t="s">
        <v>21</v>
      </c>
      <c r="F12" t="s">
        <v>22</v>
      </c>
      <c r="G12" s="1">
        <v>83527</v>
      </c>
      <c r="H12" s="1">
        <v>44019</v>
      </c>
      <c r="I12">
        <v>23</v>
      </c>
      <c r="J12" s="1">
        <v>20296.79</v>
      </c>
      <c r="K12" s="2">
        <v>46065</v>
      </c>
      <c r="L12">
        <v>4</v>
      </c>
    </row>
    <row r="13" spans="1:12" x14ac:dyDescent="0.3">
      <c r="A13" t="s">
        <v>49</v>
      </c>
      <c r="B13" t="s">
        <v>50</v>
      </c>
      <c r="C13" t="s">
        <v>51</v>
      </c>
      <c r="D13" t="s">
        <v>29</v>
      </c>
      <c r="E13" t="s">
        <v>34</v>
      </c>
      <c r="F13" t="s">
        <v>17</v>
      </c>
      <c r="G13" s="1">
        <v>84186</v>
      </c>
      <c r="H13" s="1">
        <v>63953</v>
      </c>
      <c r="I13">
        <v>7</v>
      </c>
      <c r="J13" s="1">
        <v>14339.98</v>
      </c>
      <c r="K13" s="2">
        <v>46239</v>
      </c>
      <c r="L13">
        <v>6</v>
      </c>
    </row>
    <row r="14" spans="1:12" x14ac:dyDescent="0.3">
      <c r="A14" t="s">
        <v>52</v>
      </c>
      <c r="B14" t="s">
        <v>53</v>
      </c>
      <c r="C14" t="s">
        <v>54</v>
      </c>
      <c r="D14" t="s">
        <v>15</v>
      </c>
      <c r="E14" t="s">
        <v>45</v>
      </c>
      <c r="F14" t="s">
        <v>17</v>
      </c>
      <c r="G14" s="1">
        <v>4507</v>
      </c>
      <c r="H14" s="1">
        <v>3660</v>
      </c>
      <c r="I14">
        <v>12</v>
      </c>
      <c r="J14" s="1">
        <v>306.16000000000003</v>
      </c>
      <c r="K14" s="2">
        <v>46040</v>
      </c>
      <c r="L14">
        <v>5</v>
      </c>
    </row>
    <row r="15" spans="1:12" x14ac:dyDescent="0.3">
      <c r="A15" t="s">
        <v>55</v>
      </c>
      <c r="B15" t="s">
        <v>27</v>
      </c>
      <c r="C15" t="s">
        <v>28</v>
      </c>
      <c r="D15" t="s">
        <v>33</v>
      </c>
      <c r="E15" t="s">
        <v>45</v>
      </c>
      <c r="F15" t="s">
        <v>17</v>
      </c>
      <c r="G15" s="1">
        <v>86209</v>
      </c>
      <c r="H15" s="1">
        <v>58161</v>
      </c>
      <c r="I15">
        <v>28</v>
      </c>
      <c r="J15" s="1">
        <v>3909.48</v>
      </c>
      <c r="K15" s="2">
        <v>46060</v>
      </c>
      <c r="L15">
        <v>8</v>
      </c>
    </row>
    <row r="16" spans="1:12" x14ac:dyDescent="0.3">
      <c r="A16" t="s">
        <v>56</v>
      </c>
      <c r="B16" t="s">
        <v>40</v>
      </c>
      <c r="C16" t="s">
        <v>41</v>
      </c>
      <c r="D16" t="s">
        <v>57</v>
      </c>
      <c r="E16" t="s">
        <v>45</v>
      </c>
      <c r="F16" t="s">
        <v>17</v>
      </c>
      <c r="G16" s="1">
        <v>97947</v>
      </c>
      <c r="H16" s="1">
        <v>68819</v>
      </c>
      <c r="I16">
        <v>8</v>
      </c>
      <c r="J16" s="1">
        <v>21292.240000000002</v>
      </c>
      <c r="K16" s="2">
        <v>46133</v>
      </c>
      <c r="L16">
        <v>10</v>
      </c>
    </row>
    <row r="17" spans="1:12" x14ac:dyDescent="0.3">
      <c r="A17" t="s">
        <v>58</v>
      </c>
      <c r="B17" t="s">
        <v>47</v>
      </c>
      <c r="C17" t="s">
        <v>48</v>
      </c>
      <c r="D17" t="s">
        <v>29</v>
      </c>
      <c r="E17" t="s">
        <v>34</v>
      </c>
      <c r="F17" t="s">
        <v>17</v>
      </c>
      <c r="G17" s="1">
        <v>29046</v>
      </c>
      <c r="H17" s="1">
        <v>26106</v>
      </c>
      <c r="I17">
        <v>4</v>
      </c>
      <c r="J17" s="1">
        <v>1778.16</v>
      </c>
      <c r="K17" s="2">
        <v>46150</v>
      </c>
      <c r="L17">
        <v>9</v>
      </c>
    </row>
    <row r="18" spans="1:12" x14ac:dyDescent="0.3">
      <c r="A18" t="s">
        <v>59</v>
      </c>
      <c r="B18" t="s">
        <v>19</v>
      </c>
      <c r="C18" t="s">
        <v>20</v>
      </c>
      <c r="D18" t="s">
        <v>15</v>
      </c>
      <c r="E18" t="s">
        <v>43</v>
      </c>
      <c r="F18" t="s">
        <v>22</v>
      </c>
      <c r="G18" s="1">
        <v>14671</v>
      </c>
      <c r="H18" s="1">
        <v>7611</v>
      </c>
      <c r="I18">
        <v>5</v>
      </c>
      <c r="J18" s="1">
        <v>6326.45</v>
      </c>
      <c r="K18" s="2">
        <v>46176</v>
      </c>
      <c r="L18">
        <v>7</v>
      </c>
    </row>
    <row r="19" spans="1:12" x14ac:dyDescent="0.3">
      <c r="A19" t="s">
        <v>60</v>
      </c>
      <c r="B19" t="s">
        <v>19</v>
      </c>
      <c r="C19" t="s">
        <v>20</v>
      </c>
      <c r="D19" t="s">
        <v>29</v>
      </c>
      <c r="E19" t="s">
        <v>61</v>
      </c>
      <c r="F19" t="s">
        <v>17</v>
      </c>
      <c r="G19" s="1">
        <v>78404</v>
      </c>
      <c r="H19" s="1">
        <v>70426</v>
      </c>
      <c r="I19">
        <v>16</v>
      </c>
      <c r="J19" s="1">
        <v>-4566.6400000000003</v>
      </c>
      <c r="K19" s="2">
        <v>46272</v>
      </c>
      <c r="L19">
        <v>5</v>
      </c>
    </row>
    <row r="20" spans="1:12" x14ac:dyDescent="0.3">
      <c r="A20" t="s">
        <v>62</v>
      </c>
      <c r="B20" t="s">
        <v>24</v>
      </c>
      <c r="C20" t="s">
        <v>25</v>
      </c>
      <c r="D20" t="s">
        <v>15</v>
      </c>
      <c r="E20" t="s">
        <v>63</v>
      </c>
      <c r="F20" t="s">
        <v>22</v>
      </c>
      <c r="G20" s="1">
        <v>94766</v>
      </c>
      <c r="H20" s="1">
        <v>47529</v>
      </c>
      <c r="I20">
        <v>28</v>
      </c>
      <c r="J20" s="1">
        <v>20702.52</v>
      </c>
      <c r="K20" s="2">
        <v>46216</v>
      </c>
      <c r="L20">
        <v>9</v>
      </c>
    </row>
    <row r="21" spans="1:12" x14ac:dyDescent="0.3">
      <c r="A21" t="s">
        <v>64</v>
      </c>
      <c r="B21" t="s">
        <v>40</v>
      </c>
      <c r="C21" t="s">
        <v>41</v>
      </c>
      <c r="D21" t="s">
        <v>33</v>
      </c>
      <c r="E21" t="s">
        <v>16</v>
      </c>
      <c r="F21" t="s">
        <v>17</v>
      </c>
      <c r="G21" s="1">
        <v>38769</v>
      </c>
      <c r="H21" s="1">
        <v>25030</v>
      </c>
      <c r="I21">
        <v>14</v>
      </c>
      <c r="J21" s="1">
        <v>8311.34</v>
      </c>
      <c r="K21" s="2">
        <v>46268</v>
      </c>
      <c r="L21">
        <v>1</v>
      </c>
    </row>
    <row r="22" spans="1:12" x14ac:dyDescent="0.3">
      <c r="A22" t="s">
        <v>65</v>
      </c>
      <c r="B22" t="s">
        <v>66</v>
      </c>
      <c r="C22" t="s">
        <v>67</v>
      </c>
      <c r="D22" t="s">
        <v>33</v>
      </c>
      <c r="E22" t="s">
        <v>21</v>
      </c>
      <c r="F22" t="s">
        <v>22</v>
      </c>
      <c r="G22" s="1">
        <v>23716</v>
      </c>
      <c r="H22" s="1">
        <v>16090</v>
      </c>
      <c r="I22">
        <v>3</v>
      </c>
      <c r="J22" s="1">
        <v>6914.52</v>
      </c>
      <c r="K22" s="2">
        <v>46239</v>
      </c>
      <c r="L22">
        <v>5</v>
      </c>
    </row>
    <row r="23" spans="1:12" x14ac:dyDescent="0.3">
      <c r="A23" t="s">
        <v>68</v>
      </c>
      <c r="B23" t="s">
        <v>13</v>
      </c>
      <c r="C23" t="s">
        <v>14</v>
      </c>
      <c r="D23" t="s">
        <v>57</v>
      </c>
      <c r="E23" t="s">
        <v>45</v>
      </c>
      <c r="F23" t="s">
        <v>17</v>
      </c>
      <c r="G23" s="1">
        <v>49309</v>
      </c>
      <c r="H23" s="1">
        <v>39108</v>
      </c>
      <c r="I23">
        <v>17</v>
      </c>
      <c r="J23" s="1">
        <v>1818.47</v>
      </c>
      <c r="K23" s="2">
        <v>46259</v>
      </c>
      <c r="L23">
        <v>9</v>
      </c>
    </row>
    <row r="24" spans="1:12" x14ac:dyDescent="0.3">
      <c r="A24" t="s">
        <v>69</v>
      </c>
      <c r="B24" t="s">
        <v>37</v>
      </c>
      <c r="C24" t="s">
        <v>38</v>
      </c>
      <c r="D24" t="s">
        <v>33</v>
      </c>
      <c r="E24" t="s">
        <v>61</v>
      </c>
      <c r="F24" t="s">
        <v>17</v>
      </c>
      <c r="G24" s="1">
        <v>2852</v>
      </c>
      <c r="H24" s="1">
        <v>1426</v>
      </c>
      <c r="I24">
        <v>11</v>
      </c>
      <c r="J24" s="1">
        <v>1112.28</v>
      </c>
      <c r="K24" s="2">
        <v>46085</v>
      </c>
      <c r="L24">
        <v>5</v>
      </c>
    </row>
    <row r="25" spans="1:12" x14ac:dyDescent="0.3">
      <c r="A25" t="s">
        <v>70</v>
      </c>
      <c r="B25" t="s">
        <v>37</v>
      </c>
      <c r="C25" t="s">
        <v>38</v>
      </c>
      <c r="D25" t="s">
        <v>57</v>
      </c>
      <c r="E25" t="s">
        <v>21</v>
      </c>
      <c r="F25" t="s">
        <v>22</v>
      </c>
      <c r="G25" s="1">
        <v>10622</v>
      </c>
      <c r="H25" s="1">
        <v>5189</v>
      </c>
      <c r="I25">
        <v>15</v>
      </c>
      <c r="J25" s="1">
        <v>3839.7</v>
      </c>
      <c r="K25" s="2">
        <v>46218</v>
      </c>
      <c r="L25">
        <v>2</v>
      </c>
    </row>
    <row r="26" spans="1:12" x14ac:dyDescent="0.3">
      <c r="A26" t="s">
        <v>71</v>
      </c>
      <c r="B26" t="s">
        <v>24</v>
      </c>
      <c r="C26" t="s">
        <v>25</v>
      </c>
      <c r="D26" t="s">
        <v>57</v>
      </c>
      <c r="E26" t="s">
        <v>45</v>
      </c>
      <c r="F26" t="s">
        <v>17</v>
      </c>
      <c r="G26" s="1">
        <v>86774</v>
      </c>
      <c r="H26" s="1">
        <v>57607</v>
      </c>
      <c r="I26">
        <v>17</v>
      </c>
      <c r="J26" s="1">
        <v>14415.42</v>
      </c>
      <c r="K26" s="2">
        <v>46091</v>
      </c>
      <c r="L26">
        <v>3</v>
      </c>
    </row>
    <row r="27" spans="1:12" x14ac:dyDescent="0.3">
      <c r="A27" t="s">
        <v>72</v>
      </c>
      <c r="B27" t="s">
        <v>24</v>
      </c>
      <c r="C27" t="s">
        <v>25</v>
      </c>
      <c r="D27" t="s">
        <v>29</v>
      </c>
      <c r="E27" t="s">
        <v>45</v>
      </c>
      <c r="F27" t="s">
        <v>17</v>
      </c>
      <c r="G27" s="1">
        <v>70986</v>
      </c>
      <c r="H27" s="1">
        <v>56069</v>
      </c>
      <c r="I27">
        <v>22</v>
      </c>
      <c r="J27" s="1">
        <v>-699.92</v>
      </c>
      <c r="K27" s="2">
        <v>46206</v>
      </c>
      <c r="L27">
        <v>4</v>
      </c>
    </row>
    <row r="28" spans="1:12" x14ac:dyDescent="0.3">
      <c r="A28" t="s">
        <v>73</v>
      </c>
      <c r="B28" t="s">
        <v>40</v>
      </c>
      <c r="C28" t="s">
        <v>41</v>
      </c>
      <c r="D28" t="s">
        <v>29</v>
      </c>
      <c r="E28" t="s">
        <v>63</v>
      </c>
      <c r="F28" t="s">
        <v>22</v>
      </c>
      <c r="G28" s="1">
        <v>85480</v>
      </c>
      <c r="H28" s="1">
        <v>52829</v>
      </c>
      <c r="I28">
        <v>28</v>
      </c>
      <c r="J28" s="1">
        <v>8716.6</v>
      </c>
      <c r="K28" s="2">
        <v>46139</v>
      </c>
      <c r="L28">
        <v>9</v>
      </c>
    </row>
    <row r="29" spans="1:12" x14ac:dyDescent="0.3">
      <c r="A29" t="s">
        <v>74</v>
      </c>
      <c r="B29" t="s">
        <v>19</v>
      </c>
      <c r="C29" t="s">
        <v>20</v>
      </c>
      <c r="D29" t="s">
        <v>57</v>
      </c>
      <c r="E29" t="s">
        <v>45</v>
      </c>
      <c r="F29" t="s">
        <v>17</v>
      </c>
      <c r="G29" s="1">
        <v>8692</v>
      </c>
      <c r="H29" s="1">
        <v>5233</v>
      </c>
      <c r="I29">
        <v>18</v>
      </c>
      <c r="J29" s="1">
        <v>1894.44</v>
      </c>
      <c r="K29" s="2">
        <v>46082</v>
      </c>
      <c r="L29">
        <v>9</v>
      </c>
    </row>
    <row r="30" spans="1:12" x14ac:dyDescent="0.3">
      <c r="A30" t="s">
        <v>75</v>
      </c>
      <c r="B30" t="s">
        <v>76</v>
      </c>
      <c r="C30" t="s">
        <v>77</v>
      </c>
      <c r="D30" t="s">
        <v>57</v>
      </c>
      <c r="E30" t="s">
        <v>16</v>
      </c>
      <c r="F30" t="s">
        <v>17</v>
      </c>
      <c r="G30" s="1">
        <v>9605</v>
      </c>
      <c r="H30" s="1">
        <v>7381</v>
      </c>
      <c r="I30">
        <v>1</v>
      </c>
      <c r="J30" s="1">
        <v>2127.9499999999998</v>
      </c>
      <c r="K30" s="2">
        <v>46041</v>
      </c>
      <c r="L30">
        <v>4</v>
      </c>
    </row>
    <row r="31" spans="1:12" x14ac:dyDescent="0.3">
      <c r="A31" t="s">
        <v>78</v>
      </c>
      <c r="B31" t="s">
        <v>47</v>
      </c>
      <c r="C31" t="s">
        <v>48</v>
      </c>
      <c r="D31" t="s">
        <v>15</v>
      </c>
      <c r="E31" t="s">
        <v>43</v>
      </c>
      <c r="F31" t="s">
        <v>22</v>
      </c>
      <c r="G31" s="1">
        <v>43609</v>
      </c>
      <c r="H31" s="1">
        <v>21014</v>
      </c>
      <c r="I31">
        <v>7</v>
      </c>
      <c r="J31" s="1">
        <v>19542.37</v>
      </c>
      <c r="K31" s="2">
        <v>46195</v>
      </c>
      <c r="L31">
        <v>5</v>
      </c>
    </row>
    <row r="32" spans="1:12" x14ac:dyDescent="0.3">
      <c r="A32" t="s">
        <v>79</v>
      </c>
      <c r="B32" t="s">
        <v>50</v>
      </c>
      <c r="C32" t="s">
        <v>51</v>
      </c>
      <c r="D32" t="s">
        <v>57</v>
      </c>
      <c r="E32" t="s">
        <v>21</v>
      </c>
      <c r="F32" t="s">
        <v>22</v>
      </c>
      <c r="G32" s="1">
        <v>17642</v>
      </c>
      <c r="H32" s="1">
        <v>13681</v>
      </c>
      <c r="I32">
        <v>28</v>
      </c>
      <c r="J32" s="1">
        <v>-978.76</v>
      </c>
      <c r="K32" s="2">
        <v>46171</v>
      </c>
      <c r="L32">
        <v>10</v>
      </c>
    </row>
    <row r="33" spans="1:12" x14ac:dyDescent="0.3">
      <c r="A33" t="s">
        <v>80</v>
      </c>
      <c r="B33" t="s">
        <v>50</v>
      </c>
      <c r="C33" t="s">
        <v>51</v>
      </c>
      <c r="D33" t="s">
        <v>57</v>
      </c>
      <c r="E33" t="s">
        <v>43</v>
      </c>
      <c r="F33" t="s">
        <v>22</v>
      </c>
      <c r="G33" s="1">
        <v>62293</v>
      </c>
      <c r="H33" s="1">
        <v>50667</v>
      </c>
      <c r="I33">
        <v>6</v>
      </c>
      <c r="J33" s="1">
        <v>7888.42</v>
      </c>
      <c r="K33" s="2">
        <v>46048</v>
      </c>
      <c r="L33">
        <v>2</v>
      </c>
    </row>
    <row r="34" spans="1:12" x14ac:dyDescent="0.3">
      <c r="A34" t="s">
        <v>81</v>
      </c>
      <c r="B34" t="s">
        <v>13</v>
      </c>
      <c r="C34" t="s">
        <v>14</v>
      </c>
      <c r="D34" t="s">
        <v>29</v>
      </c>
      <c r="E34" t="s">
        <v>34</v>
      </c>
      <c r="F34" t="s">
        <v>17</v>
      </c>
      <c r="G34" s="1">
        <v>55819</v>
      </c>
      <c r="H34" s="1">
        <v>35444</v>
      </c>
      <c r="I34">
        <v>27</v>
      </c>
      <c r="J34" s="1">
        <v>5303.87</v>
      </c>
      <c r="K34" s="2">
        <v>46196</v>
      </c>
      <c r="L34">
        <v>1</v>
      </c>
    </row>
    <row r="35" spans="1:12" x14ac:dyDescent="0.3">
      <c r="A35" t="s">
        <v>82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s="1">
        <v>53072</v>
      </c>
      <c r="H35" s="1">
        <v>41273</v>
      </c>
      <c r="I35">
        <v>25</v>
      </c>
      <c r="J35" s="1">
        <v>-1469</v>
      </c>
      <c r="K35" s="2">
        <v>46087</v>
      </c>
      <c r="L35">
        <v>2</v>
      </c>
    </row>
    <row r="36" spans="1:12" x14ac:dyDescent="0.3">
      <c r="A36" t="s">
        <v>83</v>
      </c>
      <c r="B36" t="s">
        <v>27</v>
      </c>
      <c r="C36" t="s">
        <v>28</v>
      </c>
      <c r="D36" t="s">
        <v>57</v>
      </c>
      <c r="E36" t="s">
        <v>21</v>
      </c>
      <c r="F36" t="s">
        <v>22</v>
      </c>
      <c r="G36" s="1">
        <v>59100</v>
      </c>
      <c r="H36" s="1">
        <v>30323</v>
      </c>
      <c r="I36">
        <v>5</v>
      </c>
      <c r="J36" s="1">
        <v>25822</v>
      </c>
      <c r="K36" s="2">
        <v>46142</v>
      </c>
      <c r="L36">
        <v>5</v>
      </c>
    </row>
    <row r="37" spans="1:12" x14ac:dyDescent="0.3">
      <c r="A37" t="s">
        <v>84</v>
      </c>
      <c r="B37" t="s">
        <v>27</v>
      </c>
      <c r="C37" t="s">
        <v>28</v>
      </c>
      <c r="D37" t="s">
        <v>15</v>
      </c>
      <c r="E37" t="s">
        <v>61</v>
      </c>
      <c r="F37" t="s">
        <v>17</v>
      </c>
      <c r="G37" s="1">
        <v>72432</v>
      </c>
      <c r="H37" s="1">
        <v>35785</v>
      </c>
      <c r="I37">
        <v>20</v>
      </c>
      <c r="J37" s="1">
        <v>22160.6</v>
      </c>
      <c r="K37" s="2">
        <v>46238</v>
      </c>
      <c r="L37">
        <v>9</v>
      </c>
    </row>
    <row r="38" spans="1:12" x14ac:dyDescent="0.3">
      <c r="A38" t="s">
        <v>85</v>
      </c>
      <c r="B38" t="s">
        <v>37</v>
      </c>
      <c r="C38" t="s">
        <v>38</v>
      </c>
      <c r="D38" t="s">
        <v>15</v>
      </c>
      <c r="E38" t="s">
        <v>43</v>
      </c>
      <c r="F38" t="s">
        <v>22</v>
      </c>
      <c r="G38" s="1">
        <v>31282</v>
      </c>
      <c r="H38" s="1">
        <v>16418</v>
      </c>
      <c r="I38">
        <v>15</v>
      </c>
      <c r="J38" s="1">
        <v>10171.700000000001</v>
      </c>
      <c r="K38" s="2">
        <v>46078</v>
      </c>
      <c r="L38">
        <v>8</v>
      </c>
    </row>
    <row r="39" spans="1:12" x14ac:dyDescent="0.3">
      <c r="A39" t="s">
        <v>86</v>
      </c>
      <c r="B39" t="s">
        <v>87</v>
      </c>
      <c r="C39" t="s">
        <v>88</v>
      </c>
      <c r="D39" t="s">
        <v>29</v>
      </c>
      <c r="E39" t="s">
        <v>16</v>
      </c>
      <c r="F39" t="s">
        <v>17</v>
      </c>
      <c r="G39" s="1">
        <v>21879</v>
      </c>
      <c r="H39" s="1">
        <v>13576</v>
      </c>
      <c r="I39">
        <v>12</v>
      </c>
      <c r="J39" s="1">
        <v>5677.52</v>
      </c>
      <c r="K39" s="2">
        <v>46261</v>
      </c>
      <c r="L39">
        <v>5</v>
      </c>
    </row>
    <row r="40" spans="1:12" x14ac:dyDescent="0.3">
      <c r="A40" t="s">
        <v>89</v>
      </c>
      <c r="B40" t="s">
        <v>53</v>
      </c>
      <c r="C40" t="s">
        <v>54</v>
      </c>
      <c r="D40" t="s">
        <v>29</v>
      </c>
      <c r="E40" t="s">
        <v>34</v>
      </c>
      <c r="F40" t="s">
        <v>17</v>
      </c>
      <c r="G40" s="1">
        <v>55744</v>
      </c>
      <c r="H40" s="1">
        <v>42558</v>
      </c>
      <c r="I40">
        <v>23</v>
      </c>
      <c r="J40" s="1">
        <v>364.88</v>
      </c>
      <c r="K40" s="2">
        <v>46193</v>
      </c>
      <c r="L40">
        <v>9</v>
      </c>
    </row>
    <row r="41" spans="1:12" x14ac:dyDescent="0.3">
      <c r="A41" t="s">
        <v>90</v>
      </c>
      <c r="B41" t="s">
        <v>66</v>
      </c>
      <c r="C41" t="s">
        <v>67</v>
      </c>
      <c r="D41" t="s">
        <v>29</v>
      </c>
      <c r="E41" t="s">
        <v>45</v>
      </c>
      <c r="F41" t="s">
        <v>17</v>
      </c>
      <c r="G41" s="1">
        <v>25190</v>
      </c>
      <c r="H41" s="1">
        <v>14698</v>
      </c>
      <c r="I41">
        <v>30</v>
      </c>
      <c r="J41" s="1">
        <v>2935</v>
      </c>
      <c r="K41" s="2">
        <v>46172</v>
      </c>
      <c r="L41">
        <v>1</v>
      </c>
    </row>
    <row r="42" spans="1:12" x14ac:dyDescent="0.3">
      <c r="A42" t="s">
        <v>91</v>
      </c>
      <c r="B42" t="s">
        <v>66</v>
      </c>
      <c r="C42" t="s">
        <v>67</v>
      </c>
      <c r="D42" t="s">
        <v>15</v>
      </c>
      <c r="E42" t="s">
        <v>63</v>
      </c>
      <c r="F42" t="s">
        <v>22</v>
      </c>
      <c r="G42" s="1">
        <v>41404</v>
      </c>
      <c r="H42" s="1">
        <v>19696</v>
      </c>
      <c r="I42">
        <v>18</v>
      </c>
      <c r="J42" s="1">
        <v>14255.28</v>
      </c>
      <c r="K42" s="2">
        <v>46152</v>
      </c>
      <c r="L42">
        <v>8</v>
      </c>
    </row>
    <row r="43" spans="1:12" x14ac:dyDescent="0.3">
      <c r="A43" t="s">
        <v>92</v>
      </c>
      <c r="B43" t="s">
        <v>47</v>
      </c>
      <c r="C43" t="s">
        <v>48</v>
      </c>
      <c r="D43" t="s">
        <v>57</v>
      </c>
      <c r="E43" t="s">
        <v>16</v>
      </c>
      <c r="F43" t="s">
        <v>17</v>
      </c>
      <c r="G43" s="1">
        <v>66862</v>
      </c>
      <c r="H43" s="1">
        <v>32498</v>
      </c>
      <c r="I43">
        <v>5</v>
      </c>
      <c r="J43" s="1">
        <v>31020.9</v>
      </c>
      <c r="K43" s="2">
        <v>46176</v>
      </c>
      <c r="L43">
        <v>2</v>
      </c>
    </row>
    <row r="44" spans="1:12" x14ac:dyDescent="0.3">
      <c r="A44" t="s">
        <v>93</v>
      </c>
      <c r="B44" t="s">
        <v>19</v>
      </c>
      <c r="C44" t="s">
        <v>20</v>
      </c>
      <c r="D44" t="s">
        <v>57</v>
      </c>
      <c r="E44" t="s">
        <v>61</v>
      </c>
      <c r="F44" t="s">
        <v>17</v>
      </c>
      <c r="G44" s="1">
        <v>16013</v>
      </c>
      <c r="H44" s="1">
        <v>13990</v>
      </c>
      <c r="I44">
        <v>18</v>
      </c>
      <c r="J44" s="1">
        <v>-859.34</v>
      </c>
      <c r="K44" s="2">
        <v>46172</v>
      </c>
      <c r="L44">
        <v>4</v>
      </c>
    </row>
    <row r="45" spans="1:12" x14ac:dyDescent="0.3">
      <c r="A45" t="s">
        <v>94</v>
      </c>
      <c r="B45" t="s">
        <v>76</v>
      </c>
      <c r="C45" t="s">
        <v>77</v>
      </c>
      <c r="D45" t="s">
        <v>15</v>
      </c>
      <c r="E45" t="s">
        <v>21</v>
      </c>
      <c r="F45" t="s">
        <v>22</v>
      </c>
      <c r="G45" s="1">
        <v>11045</v>
      </c>
      <c r="H45" s="1">
        <v>7053</v>
      </c>
      <c r="I45">
        <v>18</v>
      </c>
      <c r="J45" s="1">
        <v>2003.9</v>
      </c>
      <c r="K45" s="2">
        <v>46157</v>
      </c>
      <c r="L45">
        <v>10</v>
      </c>
    </row>
    <row r="46" spans="1:12" x14ac:dyDescent="0.3">
      <c r="A46" t="s">
        <v>95</v>
      </c>
      <c r="B46" t="s">
        <v>96</v>
      </c>
      <c r="C46" t="s">
        <v>97</v>
      </c>
      <c r="D46" t="s">
        <v>33</v>
      </c>
      <c r="E46" t="s">
        <v>45</v>
      </c>
      <c r="F46" t="s">
        <v>17</v>
      </c>
      <c r="G46" s="1">
        <v>88082</v>
      </c>
      <c r="H46" s="1">
        <v>68024</v>
      </c>
      <c r="I46">
        <v>7</v>
      </c>
      <c r="J46" s="1">
        <v>13892.26</v>
      </c>
      <c r="K46" s="2">
        <v>46125</v>
      </c>
      <c r="L46">
        <v>5</v>
      </c>
    </row>
    <row r="47" spans="1:12" x14ac:dyDescent="0.3">
      <c r="A47" t="s">
        <v>98</v>
      </c>
      <c r="B47" t="s">
        <v>99</v>
      </c>
      <c r="C47" t="s">
        <v>100</v>
      </c>
      <c r="D47" t="s">
        <v>33</v>
      </c>
      <c r="E47" t="s">
        <v>61</v>
      </c>
      <c r="F47" t="s">
        <v>17</v>
      </c>
      <c r="G47" s="1">
        <v>41741</v>
      </c>
      <c r="H47" s="1">
        <v>36233</v>
      </c>
      <c r="I47">
        <v>29</v>
      </c>
      <c r="J47" s="1">
        <v>-6596.89</v>
      </c>
      <c r="K47" s="2">
        <v>46026</v>
      </c>
      <c r="L47">
        <v>2</v>
      </c>
    </row>
    <row r="48" spans="1:12" x14ac:dyDescent="0.3">
      <c r="A48" t="s">
        <v>101</v>
      </c>
      <c r="B48" t="s">
        <v>50</v>
      </c>
      <c r="C48" t="s">
        <v>51</v>
      </c>
      <c r="D48" t="s">
        <v>15</v>
      </c>
      <c r="E48" t="s">
        <v>16</v>
      </c>
      <c r="F48" t="s">
        <v>17</v>
      </c>
      <c r="G48" s="1">
        <v>70768</v>
      </c>
      <c r="H48" s="1">
        <v>38633</v>
      </c>
      <c r="I48">
        <v>8</v>
      </c>
      <c r="J48" s="1">
        <v>26473.56</v>
      </c>
      <c r="K48" s="2">
        <v>46262</v>
      </c>
      <c r="L48">
        <v>3</v>
      </c>
    </row>
    <row r="49" spans="1:12" x14ac:dyDescent="0.3">
      <c r="A49" t="s">
        <v>102</v>
      </c>
      <c r="B49" t="s">
        <v>96</v>
      </c>
      <c r="C49" t="s">
        <v>97</v>
      </c>
      <c r="D49" t="s">
        <v>15</v>
      </c>
      <c r="E49" t="s">
        <v>45</v>
      </c>
      <c r="F49" t="s">
        <v>17</v>
      </c>
      <c r="G49" s="1">
        <v>48734</v>
      </c>
      <c r="H49" s="1">
        <v>28180</v>
      </c>
      <c r="I49">
        <v>14</v>
      </c>
      <c r="J49" s="1">
        <v>13731.24</v>
      </c>
      <c r="K49" s="2">
        <v>46204</v>
      </c>
      <c r="L49">
        <v>9</v>
      </c>
    </row>
    <row r="50" spans="1:12" x14ac:dyDescent="0.3">
      <c r="A50" t="s">
        <v>103</v>
      </c>
      <c r="B50" t="s">
        <v>40</v>
      </c>
      <c r="C50" t="s">
        <v>41</v>
      </c>
      <c r="D50" t="s">
        <v>15</v>
      </c>
      <c r="E50" t="s">
        <v>63</v>
      </c>
      <c r="F50" t="s">
        <v>22</v>
      </c>
      <c r="G50" s="1">
        <v>72992</v>
      </c>
      <c r="H50" s="1">
        <v>42679</v>
      </c>
      <c r="I50">
        <v>21</v>
      </c>
      <c r="J50" s="1">
        <v>14984.68</v>
      </c>
      <c r="K50" s="2">
        <v>46264</v>
      </c>
      <c r="L50">
        <v>2</v>
      </c>
    </row>
    <row r="51" spans="1:12" x14ac:dyDescent="0.3">
      <c r="A51" t="s">
        <v>104</v>
      </c>
      <c r="B51" t="s">
        <v>47</v>
      </c>
      <c r="C51" t="s">
        <v>48</v>
      </c>
      <c r="D51" t="s">
        <v>57</v>
      </c>
      <c r="E51" t="s">
        <v>34</v>
      </c>
      <c r="F51" t="s">
        <v>17</v>
      </c>
      <c r="G51" s="1">
        <v>15429</v>
      </c>
      <c r="H51" s="1">
        <v>13120</v>
      </c>
      <c r="I51">
        <v>23</v>
      </c>
      <c r="J51" s="1">
        <v>-1239.67</v>
      </c>
      <c r="K51" s="2">
        <v>46063</v>
      </c>
      <c r="L51">
        <v>9</v>
      </c>
    </row>
    <row r="52" spans="1:12" x14ac:dyDescent="0.3">
      <c r="A52" t="s">
        <v>105</v>
      </c>
      <c r="B52" t="s">
        <v>40</v>
      </c>
      <c r="C52" t="s">
        <v>41</v>
      </c>
      <c r="D52" t="s">
        <v>33</v>
      </c>
      <c r="E52" t="s">
        <v>21</v>
      </c>
      <c r="F52" t="s">
        <v>22</v>
      </c>
      <c r="G52" s="1">
        <v>27907</v>
      </c>
      <c r="H52" s="1">
        <v>21570</v>
      </c>
      <c r="I52">
        <v>6</v>
      </c>
      <c r="J52" s="1">
        <v>4662.58</v>
      </c>
      <c r="K52" s="2">
        <v>46153</v>
      </c>
      <c r="L52">
        <v>5</v>
      </c>
    </row>
    <row r="53" spans="1:12" x14ac:dyDescent="0.3">
      <c r="A53" t="s">
        <v>106</v>
      </c>
      <c r="B53" t="s">
        <v>50</v>
      </c>
      <c r="C53" t="s">
        <v>51</v>
      </c>
      <c r="D53" t="s">
        <v>33</v>
      </c>
      <c r="E53" t="s">
        <v>43</v>
      </c>
      <c r="F53" t="s">
        <v>22</v>
      </c>
      <c r="G53" s="1">
        <v>6958</v>
      </c>
      <c r="H53" s="1">
        <v>3420</v>
      </c>
      <c r="I53">
        <v>13</v>
      </c>
      <c r="J53" s="1">
        <v>2633.46</v>
      </c>
      <c r="K53" s="2">
        <v>46035</v>
      </c>
      <c r="L53">
        <v>5</v>
      </c>
    </row>
    <row r="54" spans="1:12" x14ac:dyDescent="0.3">
      <c r="A54" t="s">
        <v>107</v>
      </c>
      <c r="B54" t="s">
        <v>37</v>
      </c>
      <c r="C54" t="s">
        <v>38</v>
      </c>
      <c r="D54" t="s">
        <v>33</v>
      </c>
      <c r="E54" t="s">
        <v>43</v>
      </c>
      <c r="F54" t="s">
        <v>22</v>
      </c>
      <c r="G54" s="1">
        <v>17446</v>
      </c>
      <c r="H54" s="1">
        <v>12852</v>
      </c>
      <c r="I54">
        <v>8</v>
      </c>
      <c r="J54" s="1">
        <v>3198.32</v>
      </c>
      <c r="K54" s="2">
        <v>46213</v>
      </c>
      <c r="L54">
        <v>3</v>
      </c>
    </row>
    <row r="55" spans="1:12" x14ac:dyDescent="0.3">
      <c r="A55" t="s">
        <v>108</v>
      </c>
      <c r="B55" t="s">
        <v>50</v>
      </c>
      <c r="C55" t="s">
        <v>51</v>
      </c>
      <c r="D55" t="s">
        <v>29</v>
      </c>
      <c r="E55" t="s">
        <v>21</v>
      </c>
      <c r="F55" t="s">
        <v>22</v>
      </c>
      <c r="G55" s="1">
        <v>1567</v>
      </c>
      <c r="H55" s="1">
        <v>784</v>
      </c>
      <c r="I55">
        <v>30</v>
      </c>
      <c r="J55" s="1">
        <v>312.89999999999998</v>
      </c>
      <c r="K55" s="2">
        <v>46163</v>
      </c>
      <c r="L55">
        <v>3</v>
      </c>
    </row>
    <row r="56" spans="1:12" x14ac:dyDescent="0.3">
      <c r="A56" t="s">
        <v>109</v>
      </c>
      <c r="B56" t="s">
        <v>37</v>
      </c>
      <c r="C56" t="s">
        <v>38</v>
      </c>
      <c r="D56" t="s">
        <v>33</v>
      </c>
      <c r="E56" t="s">
        <v>21</v>
      </c>
      <c r="F56" t="s">
        <v>22</v>
      </c>
      <c r="G56" s="1">
        <v>72720</v>
      </c>
      <c r="H56" s="1">
        <v>37570</v>
      </c>
      <c r="I56">
        <v>4</v>
      </c>
      <c r="J56" s="1">
        <v>32241.200000000001</v>
      </c>
      <c r="K56" s="2">
        <v>46102</v>
      </c>
      <c r="L56">
        <v>1</v>
      </c>
    </row>
    <row r="57" spans="1:12" x14ac:dyDescent="0.3">
      <c r="A57" t="s">
        <v>110</v>
      </c>
      <c r="B57" t="s">
        <v>96</v>
      </c>
      <c r="C57" t="s">
        <v>97</v>
      </c>
      <c r="D57" t="s">
        <v>15</v>
      </c>
      <c r="E57" t="s">
        <v>34</v>
      </c>
      <c r="F57" t="s">
        <v>17</v>
      </c>
      <c r="G57" s="1">
        <v>27835</v>
      </c>
      <c r="H57" s="1">
        <v>21069</v>
      </c>
      <c r="I57">
        <v>21</v>
      </c>
      <c r="J57" s="1">
        <v>920.65</v>
      </c>
      <c r="K57" s="2">
        <v>46114</v>
      </c>
      <c r="L57">
        <v>2</v>
      </c>
    </row>
    <row r="58" spans="1:12" x14ac:dyDescent="0.3">
      <c r="A58" t="s">
        <v>111</v>
      </c>
      <c r="B58" t="s">
        <v>53</v>
      </c>
      <c r="C58" t="s">
        <v>54</v>
      </c>
      <c r="D58" t="s">
        <v>29</v>
      </c>
      <c r="E58" t="s">
        <v>21</v>
      </c>
      <c r="F58" t="s">
        <v>22</v>
      </c>
      <c r="G58" s="1">
        <v>98535</v>
      </c>
      <c r="H58" s="1">
        <v>51193</v>
      </c>
      <c r="I58">
        <v>29</v>
      </c>
      <c r="J58" s="1">
        <v>18766.849999999999</v>
      </c>
      <c r="K58" s="2">
        <v>46245</v>
      </c>
      <c r="L58">
        <v>4</v>
      </c>
    </row>
    <row r="59" spans="1:12" x14ac:dyDescent="0.3">
      <c r="A59" t="s">
        <v>112</v>
      </c>
      <c r="B59" t="s">
        <v>99</v>
      </c>
      <c r="C59" t="s">
        <v>100</v>
      </c>
      <c r="D59" t="s">
        <v>57</v>
      </c>
      <c r="E59" t="s">
        <v>61</v>
      </c>
      <c r="F59" t="s">
        <v>17</v>
      </c>
      <c r="G59" s="1">
        <v>3548</v>
      </c>
      <c r="H59" s="1">
        <v>1882</v>
      </c>
      <c r="I59">
        <v>29</v>
      </c>
      <c r="J59" s="1">
        <v>637.08000000000004</v>
      </c>
      <c r="K59" s="2">
        <v>46224</v>
      </c>
      <c r="L59">
        <v>6</v>
      </c>
    </row>
    <row r="60" spans="1:12" x14ac:dyDescent="0.3">
      <c r="A60" t="s">
        <v>113</v>
      </c>
      <c r="B60" t="s">
        <v>47</v>
      </c>
      <c r="C60" t="s">
        <v>48</v>
      </c>
      <c r="D60" t="s">
        <v>29</v>
      </c>
      <c r="E60" t="s">
        <v>43</v>
      </c>
      <c r="F60" t="s">
        <v>22</v>
      </c>
      <c r="G60" s="1">
        <v>88106</v>
      </c>
      <c r="H60" s="1">
        <v>73905</v>
      </c>
      <c r="I60">
        <v>25</v>
      </c>
      <c r="J60" s="1">
        <v>-7825.5</v>
      </c>
      <c r="K60" s="2">
        <v>46092</v>
      </c>
      <c r="L60">
        <v>4</v>
      </c>
    </row>
    <row r="61" spans="1:12" x14ac:dyDescent="0.3">
      <c r="A61" t="s">
        <v>114</v>
      </c>
      <c r="B61" t="s">
        <v>99</v>
      </c>
      <c r="C61" t="s">
        <v>100</v>
      </c>
      <c r="D61" t="s">
        <v>15</v>
      </c>
      <c r="E61" t="s">
        <v>61</v>
      </c>
      <c r="F61" t="s">
        <v>17</v>
      </c>
      <c r="G61" s="1">
        <v>5375</v>
      </c>
      <c r="H61" s="1">
        <v>4495</v>
      </c>
      <c r="I61">
        <v>7</v>
      </c>
      <c r="J61" s="1">
        <v>503.75</v>
      </c>
      <c r="K61" s="2">
        <v>46233</v>
      </c>
      <c r="L61">
        <v>4</v>
      </c>
    </row>
    <row r="62" spans="1:12" x14ac:dyDescent="0.3">
      <c r="A62" t="s">
        <v>115</v>
      </c>
      <c r="B62" t="s">
        <v>47</v>
      </c>
      <c r="C62" t="s">
        <v>48</v>
      </c>
      <c r="D62" t="s">
        <v>29</v>
      </c>
      <c r="E62" t="s">
        <v>34</v>
      </c>
      <c r="F62" t="s">
        <v>17</v>
      </c>
      <c r="G62" s="1">
        <v>40301</v>
      </c>
      <c r="H62" s="1">
        <v>33016</v>
      </c>
      <c r="I62">
        <v>27</v>
      </c>
      <c r="J62" s="1">
        <v>-3596.27</v>
      </c>
      <c r="K62" s="2">
        <v>46081</v>
      </c>
      <c r="L62">
        <v>4</v>
      </c>
    </row>
    <row r="63" spans="1:12" x14ac:dyDescent="0.3">
      <c r="A63" t="s">
        <v>116</v>
      </c>
      <c r="B63" t="s">
        <v>37</v>
      </c>
      <c r="C63" t="s">
        <v>38</v>
      </c>
      <c r="D63" t="s">
        <v>57</v>
      </c>
      <c r="E63" t="s">
        <v>61</v>
      </c>
      <c r="F63" t="s">
        <v>17</v>
      </c>
      <c r="G63" s="1">
        <v>43325</v>
      </c>
      <c r="H63" s="1">
        <v>24927</v>
      </c>
      <c r="I63">
        <v>2</v>
      </c>
      <c r="J63" s="1">
        <v>17531.5</v>
      </c>
      <c r="K63" s="2">
        <v>46113</v>
      </c>
      <c r="L63">
        <v>5</v>
      </c>
    </row>
    <row r="64" spans="1:12" x14ac:dyDescent="0.3">
      <c r="A64" t="s">
        <v>117</v>
      </c>
      <c r="B64" t="s">
        <v>13</v>
      </c>
      <c r="C64" t="s">
        <v>14</v>
      </c>
      <c r="D64" t="s">
        <v>29</v>
      </c>
      <c r="E64" t="s">
        <v>63</v>
      </c>
      <c r="F64" t="s">
        <v>22</v>
      </c>
      <c r="G64" s="1">
        <v>70582</v>
      </c>
      <c r="H64" s="1">
        <v>42279</v>
      </c>
      <c r="I64">
        <v>0</v>
      </c>
      <c r="J64" s="1">
        <v>28303</v>
      </c>
      <c r="K64" s="2">
        <v>46248</v>
      </c>
      <c r="L64">
        <v>2</v>
      </c>
    </row>
    <row r="65" spans="1:12" x14ac:dyDescent="0.3">
      <c r="A65" t="s">
        <v>118</v>
      </c>
      <c r="B65" t="s">
        <v>40</v>
      </c>
      <c r="C65" t="s">
        <v>41</v>
      </c>
      <c r="D65" t="s">
        <v>57</v>
      </c>
      <c r="E65" t="s">
        <v>21</v>
      </c>
      <c r="F65" t="s">
        <v>22</v>
      </c>
      <c r="G65" s="1">
        <v>35095</v>
      </c>
      <c r="H65" s="1">
        <v>16396</v>
      </c>
      <c r="I65">
        <v>19</v>
      </c>
      <c r="J65" s="1">
        <v>12030.95</v>
      </c>
      <c r="K65" s="2">
        <v>46112</v>
      </c>
      <c r="L65">
        <v>7</v>
      </c>
    </row>
    <row r="66" spans="1:12" x14ac:dyDescent="0.3">
      <c r="A66" t="s">
        <v>119</v>
      </c>
      <c r="B66" t="s">
        <v>66</v>
      </c>
      <c r="C66" t="s">
        <v>67</v>
      </c>
      <c r="D66" t="s">
        <v>33</v>
      </c>
      <c r="E66" t="s">
        <v>61</v>
      </c>
      <c r="F66" t="s">
        <v>17</v>
      </c>
      <c r="G66" s="1">
        <v>79757</v>
      </c>
      <c r="H66" s="1">
        <v>71215</v>
      </c>
      <c r="I66">
        <v>3</v>
      </c>
      <c r="J66" s="1">
        <v>6149.29</v>
      </c>
      <c r="K66" s="2">
        <v>46254</v>
      </c>
      <c r="L66">
        <v>7</v>
      </c>
    </row>
    <row r="67" spans="1:12" x14ac:dyDescent="0.3">
      <c r="A67" t="s">
        <v>120</v>
      </c>
      <c r="B67" t="s">
        <v>76</v>
      </c>
      <c r="C67" t="s">
        <v>77</v>
      </c>
      <c r="D67" t="s">
        <v>57</v>
      </c>
      <c r="E67" t="s">
        <v>34</v>
      </c>
      <c r="F67" t="s">
        <v>17</v>
      </c>
      <c r="G67" s="1">
        <v>6117</v>
      </c>
      <c r="H67" s="1">
        <v>4703</v>
      </c>
      <c r="I67">
        <v>0</v>
      </c>
      <c r="J67" s="1">
        <v>1414</v>
      </c>
      <c r="K67" s="2">
        <v>46260</v>
      </c>
      <c r="L67">
        <v>9</v>
      </c>
    </row>
    <row r="68" spans="1:12" x14ac:dyDescent="0.3">
      <c r="A68" t="s">
        <v>121</v>
      </c>
      <c r="B68" t="s">
        <v>53</v>
      </c>
      <c r="C68" t="s">
        <v>54</v>
      </c>
      <c r="D68" t="s">
        <v>57</v>
      </c>
      <c r="E68" t="s">
        <v>34</v>
      </c>
      <c r="F68" t="s">
        <v>17</v>
      </c>
      <c r="G68" s="1">
        <v>56831</v>
      </c>
      <c r="H68" s="1">
        <v>27363</v>
      </c>
      <c r="I68">
        <v>21</v>
      </c>
      <c r="J68" s="1">
        <v>17533.490000000002</v>
      </c>
      <c r="K68" s="2">
        <v>46183</v>
      </c>
      <c r="L68">
        <v>6</v>
      </c>
    </row>
    <row r="69" spans="1:12" x14ac:dyDescent="0.3">
      <c r="A69" t="s">
        <v>122</v>
      </c>
      <c r="B69" t="s">
        <v>96</v>
      </c>
      <c r="C69" t="s">
        <v>97</v>
      </c>
      <c r="D69" t="s">
        <v>15</v>
      </c>
      <c r="E69" t="s">
        <v>63</v>
      </c>
      <c r="F69" t="s">
        <v>22</v>
      </c>
      <c r="G69" s="1">
        <v>39663</v>
      </c>
      <c r="H69" s="1">
        <v>26899</v>
      </c>
      <c r="I69">
        <v>21</v>
      </c>
      <c r="J69" s="1">
        <v>4434.7700000000004</v>
      </c>
      <c r="K69" s="2">
        <v>46107</v>
      </c>
      <c r="L69">
        <v>7</v>
      </c>
    </row>
    <row r="70" spans="1:12" x14ac:dyDescent="0.3">
      <c r="A70" t="s">
        <v>123</v>
      </c>
      <c r="B70" t="s">
        <v>31</v>
      </c>
      <c r="C70" t="s">
        <v>32</v>
      </c>
      <c r="D70" t="s">
        <v>33</v>
      </c>
      <c r="E70" t="s">
        <v>21</v>
      </c>
      <c r="F70" t="s">
        <v>22</v>
      </c>
      <c r="G70" s="1">
        <v>16983</v>
      </c>
      <c r="H70" s="1">
        <v>9108</v>
      </c>
      <c r="I70">
        <v>21</v>
      </c>
      <c r="J70" s="1">
        <v>4308.57</v>
      </c>
      <c r="K70" s="2">
        <v>46197</v>
      </c>
      <c r="L70">
        <v>7</v>
      </c>
    </row>
    <row r="71" spans="1:12" x14ac:dyDescent="0.3">
      <c r="A71" t="s">
        <v>124</v>
      </c>
      <c r="B71" t="s">
        <v>66</v>
      </c>
      <c r="C71" t="s">
        <v>67</v>
      </c>
      <c r="D71" t="s">
        <v>57</v>
      </c>
      <c r="E71" t="s">
        <v>21</v>
      </c>
      <c r="F71" t="s">
        <v>22</v>
      </c>
      <c r="G71" s="1">
        <v>74893</v>
      </c>
      <c r="H71" s="1">
        <v>43844</v>
      </c>
      <c r="I71">
        <v>17</v>
      </c>
      <c r="J71" s="1">
        <v>18317.189999999999</v>
      </c>
      <c r="K71" s="2">
        <v>46101</v>
      </c>
      <c r="L71">
        <v>1</v>
      </c>
    </row>
    <row r="72" spans="1:12" x14ac:dyDescent="0.3">
      <c r="A72" t="s">
        <v>125</v>
      </c>
      <c r="B72" t="s">
        <v>40</v>
      </c>
      <c r="C72" t="s">
        <v>41</v>
      </c>
      <c r="D72" t="s">
        <v>57</v>
      </c>
      <c r="E72" t="s">
        <v>61</v>
      </c>
      <c r="F72" t="s">
        <v>17</v>
      </c>
      <c r="G72" s="1">
        <v>76319</v>
      </c>
      <c r="H72" s="1">
        <v>55178</v>
      </c>
      <c r="I72">
        <v>10</v>
      </c>
      <c r="J72" s="1">
        <v>13509.1</v>
      </c>
      <c r="K72" s="2">
        <v>46137</v>
      </c>
      <c r="L72">
        <v>8</v>
      </c>
    </row>
    <row r="73" spans="1:12" x14ac:dyDescent="0.3">
      <c r="A73" t="s">
        <v>126</v>
      </c>
      <c r="B73" t="s">
        <v>50</v>
      </c>
      <c r="C73" t="s">
        <v>51</v>
      </c>
      <c r="D73" t="s">
        <v>57</v>
      </c>
      <c r="E73" t="s">
        <v>21</v>
      </c>
      <c r="F73" t="s">
        <v>22</v>
      </c>
      <c r="G73" s="1">
        <v>62321</v>
      </c>
      <c r="H73" s="1">
        <v>50304</v>
      </c>
      <c r="I73">
        <v>30</v>
      </c>
      <c r="J73" s="1">
        <v>-6679.3</v>
      </c>
      <c r="K73" s="2">
        <v>46192</v>
      </c>
      <c r="L73">
        <v>3</v>
      </c>
    </row>
    <row r="74" spans="1:12" x14ac:dyDescent="0.3">
      <c r="A74" t="s">
        <v>127</v>
      </c>
      <c r="B74" t="s">
        <v>19</v>
      </c>
      <c r="C74" t="s">
        <v>20</v>
      </c>
      <c r="D74" t="s">
        <v>33</v>
      </c>
      <c r="E74" t="s">
        <v>21</v>
      </c>
      <c r="F74" t="s">
        <v>22</v>
      </c>
      <c r="G74" s="1">
        <v>87312</v>
      </c>
      <c r="H74" s="1">
        <v>64158</v>
      </c>
      <c r="I74">
        <v>10</v>
      </c>
      <c r="J74" s="1">
        <v>14422.8</v>
      </c>
      <c r="K74" s="2">
        <v>46233</v>
      </c>
      <c r="L74">
        <v>2</v>
      </c>
    </row>
    <row r="75" spans="1:12" x14ac:dyDescent="0.3">
      <c r="A75" t="s">
        <v>128</v>
      </c>
      <c r="B75" t="s">
        <v>53</v>
      </c>
      <c r="C75" t="s">
        <v>54</v>
      </c>
      <c r="D75" t="s">
        <v>57</v>
      </c>
      <c r="E75" t="s">
        <v>63</v>
      </c>
      <c r="F75" t="s">
        <v>22</v>
      </c>
      <c r="G75" s="1">
        <v>40987</v>
      </c>
      <c r="H75" s="1">
        <v>22587</v>
      </c>
      <c r="I75">
        <v>6</v>
      </c>
      <c r="J75" s="1">
        <v>15940.78</v>
      </c>
      <c r="K75" s="2">
        <v>46030</v>
      </c>
      <c r="L75">
        <v>3</v>
      </c>
    </row>
    <row r="76" spans="1:12" x14ac:dyDescent="0.3">
      <c r="A76" t="s">
        <v>129</v>
      </c>
      <c r="B76" t="s">
        <v>37</v>
      </c>
      <c r="C76" t="s">
        <v>38</v>
      </c>
      <c r="D76" t="s">
        <v>57</v>
      </c>
      <c r="E76" t="s">
        <v>61</v>
      </c>
      <c r="F76" t="s">
        <v>17</v>
      </c>
      <c r="G76" s="1">
        <v>80420</v>
      </c>
      <c r="H76" s="1">
        <v>66940</v>
      </c>
      <c r="I76">
        <v>2</v>
      </c>
      <c r="J76" s="1">
        <v>11871.6</v>
      </c>
      <c r="K76" s="2">
        <v>46130</v>
      </c>
      <c r="L76">
        <v>8</v>
      </c>
    </row>
    <row r="77" spans="1:12" x14ac:dyDescent="0.3">
      <c r="A77" t="s">
        <v>130</v>
      </c>
      <c r="B77" t="s">
        <v>47</v>
      </c>
      <c r="C77" t="s">
        <v>48</v>
      </c>
      <c r="D77" t="s">
        <v>57</v>
      </c>
      <c r="E77" t="s">
        <v>63</v>
      </c>
      <c r="F77" t="s">
        <v>22</v>
      </c>
      <c r="G77" s="1">
        <v>91572</v>
      </c>
      <c r="H77" s="1">
        <v>57030</v>
      </c>
      <c r="I77">
        <v>12</v>
      </c>
      <c r="J77" s="1">
        <v>23553.360000000001</v>
      </c>
      <c r="K77" s="2">
        <v>46061</v>
      </c>
      <c r="L77">
        <v>4</v>
      </c>
    </row>
    <row r="78" spans="1:12" x14ac:dyDescent="0.3">
      <c r="A78" t="s">
        <v>131</v>
      </c>
      <c r="B78" t="s">
        <v>13</v>
      </c>
      <c r="C78" t="s">
        <v>14</v>
      </c>
      <c r="D78" t="s">
        <v>15</v>
      </c>
      <c r="E78" t="s">
        <v>43</v>
      </c>
      <c r="F78" t="s">
        <v>22</v>
      </c>
      <c r="G78" s="1">
        <v>14270</v>
      </c>
      <c r="H78" s="1">
        <v>11420</v>
      </c>
      <c r="I78">
        <v>7</v>
      </c>
      <c r="J78" s="1">
        <v>1851.1</v>
      </c>
      <c r="K78" s="2">
        <v>46229</v>
      </c>
      <c r="L78">
        <v>3</v>
      </c>
    </row>
    <row r="79" spans="1:12" x14ac:dyDescent="0.3">
      <c r="A79" t="s">
        <v>132</v>
      </c>
      <c r="B79" t="s">
        <v>66</v>
      </c>
      <c r="C79" t="s">
        <v>67</v>
      </c>
      <c r="D79" t="s">
        <v>29</v>
      </c>
      <c r="E79" t="s">
        <v>16</v>
      </c>
      <c r="F79" t="s">
        <v>17</v>
      </c>
      <c r="G79" s="1">
        <v>73360</v>
      </c>
      <c r="H79" s="1">
        <v>41238</v>
      </c>
      <c r="I79">
        <v>27</v>
      </c>
      <c r="J79" s="1">
        <v>12314.8</v>
      </c>
      <c r="K79" s="2">
        <v>46140</v>
      </c>
      <c r="L79">
        <v>2</v>
      </c>
    </row>
    <row r="80" spans="1:12" x14ac:dyDescent="0.3">
      <c r="A80" t="s">
        <v>133</v>
      </c>
      <c r="B80" t="s">
        <v>99</v>
      </c>
      <c r="C80" t="s">
        <v>100</v>
      </c>
      <c r="D80" t="s">
        <v>29</v>
      </c>
      <c r="E80" t="s">
        <v>63</v>
      </c>
      <c r="F80" t="s">
        <v>22</v>
      </c>
      <c r="G80" s="1">
        <v>69916</v>
      </c>
      <c r="H80" s="1">
        <v>62543</v>
      </c>
      <c r="I80">
        <v>19</v>
      </c>
      <c r="J80" s="1">
        <v>-5911.04</v>
      </c>
      <c r="K80" s="2">
        <v>46267</v>
      </c>
      <c r="L80">
        <v>6</v>
      </c>
    </row>
    <row r="81" spans="1:12" x14ac:dyDescent="0.3">
      <c r="A81" t="s">
        <v>134</v>
      </c>
      <c r="B81" t="s">
        <v>53</v>
      </c>
      <c r="C81" t="s">
        <v>54</v>
      </c>
      <c r="D81" t="s">
        <v>29</v>
      </c>
      <c r="E81" t="s">
        <v>21</v>
      </c>
      <c r="F81" t="s">
        <v>22</v>
      </c>
      <c r="G81" s="1">
        <v>94576</v>
      </c>
      <c r="H81" s="1">
        <v>80522</v>
      </c>
      <c r="I81">
        <v>13</v>
      </c>
      <c r="J81" s="1">
        <v>1759.12</v>
      </c>
      <c r="K81" s="2">
        <v>46138</v>
      </c>
      <c r="L81">
        <v>9</v>
      </c>
    </row>
    <row r="82" spans="1:12" x14ac:dyDescent="0.3">
      <c r="A82" t="s">
        <v>135</v>
      </c>
      <c r="B82" t="s">
        <v>47</v>
      </c>
      <c r="C82" t="s">
        <v>48</v>
      </c>
      <c r="D82" t="s">
        <v>57</v>
      </c>
      <c r="E82" t="s">
        <v>63</v>
      </c>
      <c r="F82" t="s">
        <v>22</v>
      </c>
      <c r="G82" s="1">
        <v>62516</v>
      </c>
      <c r="H82" s="1">
        <v>40793</v>
      </c>
      <c r="I82">
        <v>24</v>
      </c>
      <c r="J82" s="1">
        <v>6719.16</v>
      </c>
      <c r="K82" s="2">
        <v>46239</v>
      </c>
      <c r="L82">
        <v>4</v>
      </c>
    </row>
    <row r="83" spans="1:12" x14ac:dyDescent="0.3">
      <c r="A83" t="s">
        <v>136</v>
      </c>
      <c r="B83" t="s">
        <v>13</v>
      </c>
      <c r="C83" t="s">
        <v>14</v>
      </c>
      <c r="D83" t="s">
        <v>33</v>
      </c>
      <c r="E83" t="s">
        <v>43</v>
      </c>
      <c r="F83" t="s">
        <v>22</v>
      </c>
      <c r="G83" s="1">
        <v>68627</v>
      </c>
      <c r="H83" s="1">
        <v>45847</v>
      </c>
      <c r="I83">
        <v>7</v>
      </c>
      <c r="J83" s="1">
        <v>17976.11</v>
      </c>
      <c r="K83" s="2">
        <v>46136</v>
      </c>
      <c r="L83">
        <v>5</v>
      </c>
    </row>
    <row r="84" spans="1:12" x14ac:dyDescent="0.3">
      <c r="A84" t="s">
        <v>137</v>
      </c>
      <c r="B84" t="s">
        <v>19</v>
      </c>
      <c r="C84" t="s">
        <v>20</v>
      </c>
      <c r="D84" t="s">
        <v>33</v>
      </c>
      <c r="E84" t="s">
        <v>45</v>
      </c>
      <c r="F84" t="s">
        <v>17</v>
      </c>
      <c r="G84" s="1">
        <v>35914</v>
      </c>
      <c r="H84" s="1">
        <v>21589</v>
      </c>
      <c r="I84">
        <v>28</v>
      </c>
      <c r="J84" s="1">
        <v>4269.08</v>
      </c>
      <c r="K84" s="2">
        <v>46044</v>
      </c>
      <c r="L84">
        <v>9</v>
      </c>
    </row>
    <row r="85" spans="1:12" x14ac:dyDescent="0.3">
      <c r="A85" t="s">
        <v>138</v>
      </c>
      <c r="B85" t="s">
        <v>99</v>
      </c>
      <c r="C85" t="s">
        <v>100</v>
      </c>
      <c r="D85" t="s">
        <v>57</v>
      </c>
      <c r="E85" t="s">
        <v>45</v>
      </c>
      <c r="F85" t="s">
        <v>17</v>
      </c>
      <c r="G85" s="1">
        <v>50505</v>
      </c>
      <c r="H85" s="1">
        <v>38498</v>
      </c>
      <c r="I85">
        <v>22</v>
      </c>
      <c r="J85" s="1">
        <v>895.9</v>
      </c>
      <c r="K85" s="2">
        <v>46040</v>
      </c>
      <c r="L85">
        <v>4</v>
      </c>
    </row>
    <row r="86" spans="1:12" x14ac:dyDescent="0.3">
      <c r="A86" t="s">
        <v>139</v>
      </c>
      <c r="B86" t="s">
        <v>31</v>
      </c>
      <c r="C86" t="s">
        <v>32</v>
      </c>
      <c r="D86" t="s">
        <v>29</v>
      </c>
      <c r="E86" t="s">
        <v>34</v>
      </c>
      <c r="F86" t="s">
        <v>17</v>
      </c>
      <c r="G86" s="1">
        <v>71421</v>
      </c>
      <c r="H86" s="1">
        <v>47114</v>
      </c>
      <c r="I86">
        <v>1</v>
      </c>
      <c r="J86" s="1">
        <v>23592.79</v>
      </c>
      <c r="K86" s="2">
        <v>46237</v>
      </c>
      <c r="L86">
        <v>4</v>
      </c>
    </row>
    <row r="87" spans="1:12" x14ac:dyDescent="0.3">
      <c r="A87" t="s">
        <v>140</v>
      </c>
      <c r="B87" t="s">
        <v>31</v>
      </c>
      <c r="C87" t="s">
        <v>32</v>
      </c>
      <c r="D87" t="s">
        <v>29</v>
      </c>
      <c r="E87" t="s">
        <v>43</v>
      </c>
      <c r="F87" t="s">
        <v>22</v>
      </c>
      <c r="G87" s="1">
        <v>76856</v>
      </c>
      <c r="H87" s="1">
        <v>67304</v>
      </c>
      <c r="I87">
        <v>0</v>
      </c>
      <c r="J87" s="1">
        <v>9552</v>
      </c>
      <c r="K87" s="2">
        <v>46121</v>
      </c>
      <c r="L87">
        <v>10</v>
      </c>
    </row>
    <row r="88" spans="1:12" x14ac:dyDescent="0.3">
      <c r="A88" t="s">
        <v>141</v>
      </c>
      <c r="B88" t="s">
        <v>50</v>
      </c>
      <c r="C88" t="s">
        <v>51</v>
      </c>
      <c r="D88" t="s">
        <v>15</v>
      </c>
      <c r="E88" t="s">
        <v>34</v>
      </c>
      <c r="F88" t="s">
        <v>17</v>
      </c>
      <c r="G88" s="1">
        <v>39439</v>
      </c>
      <c r="H88" s="1">
        <v>31119</v>
      </c>
      <c r="I88">
        <v>27</v>
      </c>
      <c r="J88" s="1">
        <v>-2328.5300000000002</v>
      </c>
      <c r="K88" s="2">
        <v>46161</v>
      </c>
      <c r="L88">
        <v>7</v>
      </c>
    </row>
    <row r="89" spans="1:12" x14ac:dyDescent="0.3">
      <c r="A89" t="s">
        <v>142</v>
      </c>
      <c r="B89" t="s">
        <v>66</v>
      </c>
      <c r="C89" t="s">
        <v>67</v>
      </c>
      <c r="D89" t="s">
        <v>57</v>
      </c>
      <c r="E89" t="s">
        <v>61</v>
      </c>
      <c r="F89" t="s">
        <v>17</v>
      </c>
      <c r="G89" s="1">
        <v>29060</v>
      </c>
      <c r="H89" s="1">
        <v>16646</v>
      </c>
      <c r="I89">
        <v>15</v>
      </c>
      <c r="J89" s="1">
        <v>8055</v>
      </c>
      <c r="K89" s="2">
        <v>46123</v>
      </c>
      <c r="L89">
        <v>1</v>
      </c>
    </row>
    <row r="90" spans="1:12" x14ac:dyDescent="0.3">
      <c r="A90" t="s">
        <v>143</v>
      </c>
      <c r="B90" t="s">
        <v>96</v>
      </c>
      <c r="C90" t="s">
        <v>97</v>
      </c>
      <c r="D90" t="s">
        <v>29</v>
      </c>
      <c r="E90" t="s">
        <v>63</v>
      </c>
      <c r="F90" t="s">
        <v>22</v>
      </c>
      <c r="G90" s="1">
        <v>21932</v>
      </c>
      <c r="H90" s="1">
        <v>18164</v>
      </c>
      <c r="I90">
        <v>29</v>
      </c>
      <c r="J90" s="1">
        <v>-2592.2800000000002</v>
      </c>
      <c r="K90" s="2">
        <v>46183</v>
      </c>
      <c r="L90">
        <v>3</v>
      </c>
    </row>
    <row r="91" spans="1:12" x14ac:dyDescent="0.3">
      <c r="A91" t="s">
        <v>144</v>
      </c>
      <c r="B91" t="s">
        <v>24</v>
      </c>
      <c r="C91" t="s">
        <v>25</v>
      </c>
      <c r="D91" t="s">
        <v>15</v>
      </c>
      <c r="E91" t="s">
        <v>61</v>
      </c>
      <c r="F91" t="s">
        <v>17</v>
      </c>
      <c r="G91" s="1">
        <v>77880</v>
      </c>
      <c r="H91" s="1">
        <v>54825</v>
      </c>
      <c r="I91">
        <v>0</v>
      </c>
      <c r="J91" s="1">
        <v>23055</v>
      </c>
      <c r="K91" s="2">
        <v>46188</v>
      </c>
      <c r="L91">
        <v>2</v>
      </c>
    </row>
    <row r="92" spans="1:12" x14ac:dyDescent="0.3">
      <c r="A92" t="s">
        <v>145</v>
      </c>
      <c r="B92" t="s">
        <v>31</v>
      </c>
      <c r="C92" t="s">
        <v>32</v>
      </c>
      <c r="D92" t="s">
        <v>57</v>
      </c>
      <c r="E92" t="s">
        <v>43</v>
      </c>
      <c r="F92" t="s">
        <v>22</v>
      </c>
      <c r="G92" s="1">
        <v>60815</v>
      </c>
      <c r="H92" s="1">
        <v>32340</v>
      </c>
      <c r="I92">
        <v>8</v>
      </c>
      <c r="J92" s="1">
        <v>23609.8</v>
      </c>
      <c r="K92" s="2">
        <v>46107</v>
      </c>
      <c r="L92">
        <v>7</v>
      </c>
    </row>
    <row r="93" spans="1:12" x14ac:dyDescent="0.3">
      <c r="A93" t="s">
        <v>146</v>
      </c>
      <c r="B93" t="s">
        <v>27</v>
      </c>
      <c r="C93" t="s">
        <v>28</v>
      </c>
      <c r="D93" t="s">
        <v>29</v>
      </c>
      <c r="E93" t="s">
        <v>34</v>
      </c>
      <c r="F93" t="s">
        <v>17</v>
      </c>
      <c r="G93" s="1">
        <v>44536</v>
      </c>
      <c r="H93" s="1">
        <v>35297</v>
      </c>
      <c r="I93">
        <v>12</v>
      </c>
      <c r="J93" s="1">
        <v>3894.68</v>
      </c>
      <c r="K93" s="2">
        <v>46216</v>
      </c>
      <c r="L93">
        <v>5</v>
      </c>
    </row>
    <row r="94" spans="1:12" x14ac:dyDescent="0.3">
      <c r="A94" t="s">
        <v>147</v>
      </c>
      <c r="B94" t="s">
        <v>87</v>
      </c>
      <c r="C94" t="s">
        <v>88</v>
      </c>
      <c r="D94" t="s">
        <v>29</v>
      </c>
      <c r="E94" t="s">
        <v>34</v>
      </c>
      <c r="F94" t="s">
        <v>17</v>
      </c>
      <c r="G94" s="1">
        <v>11035</v>
      </c>
      <c r="H94" s="1">
        <v>7301</v>
      </c>
      <c r="I94">
        <v>23</v>
      </c>
      <c r="J94" s="1">
        <v>1195.95</v>
      </c>
      <c r="K94" s="2">
        <v>46037</v>
      </c>
      <c r="L94">
        <v>9</v>
      </c>
    </row>
    <row r="95" spans="1:12" x14ac:dyDescent="0.3">
      <c r="A95" t="s">
        <v>148</v>
      </c>
      <c r="B95" t="s">
        <v>96</v>
      </c>
      <c r="C95" t="s">
        <v>97</v>
      </c>
      <c r="D95" t="s">
        <v>57</v>
      </c>
      <c r="E95" t="s">
        <v>63</v>
      </c>
      <c r="F95" t="s">
        <v>22</v>
      </c>
      <c r="G95" s="1">
        <v>9293</v>
      </c>
      <c r="H95" s="1">
        <v>7448</v>
      </c>
      <c r="I95">
        <v>20</v>
      </c>
      <c r="J95" s="1">
        <v>-13.6</v>
      </c>
      <c r="K95" s="2">
        <v>46217</v>
      </c>
      <c r="L95">
        <v>1</v>
      </c>
    </row>
    <row r="96" spans="1:12" x14ac:dyDescent="0.3">
      <c r="A96" t="s">
        <v>149</v>
      </c>
      <c r="B96" t="s">
        <v>37</v>
      </c>
      <c r="C96" t="s">
        <v>38</v>
      </c>
      <c r="D96" t="s">
        <v>57</v>
      </c>
      <c r="E96" t="s">
        <v>45</v>
      </c>
      <c r="F96" t="s">
        <v>17</v>
      </c>
      <c r="G96" s="1">
        <v>2971</v>
      </c>
      <c r="H96" s="1">
        <v>2167</v>
      </c>
      <c r="I96">
        <v>7</v>
      </c>
      <c r="J96" s="1">
        <v>596.03</v>
      </c>
      <c r="K96" s="2">
        <v>46145</v>
      </c>
      <c r="L96">
        <v>3</v>
      </c>
    </row>
    <row r="97" spans="1:12" x14ac:dyDescent="0.3">
      <c r="A97" t="s">
        <v>150</v>
      </c>
      <c r="B97" t="s">
        <v>13</v>
      </c>
      <c r="C97" t="s">
        <v>14</v>
      </c>
      <c r="D97" t="s">
        <v>15</v>
      </c>
      <c r="E97" t="s">
        <v>21</v>
      </c>
      <c r="F97" t="s">
        <v>22</v>
      </c>
      <c r="G97" s="1">
        <v>28869</v>
      </c>
      <c r="H97" s="1">
        <v>19032</v>
      </c>
      <c r="I97">
        <v>8</v>
      </c>
      <c r="J97" s="1">
        <v>7527.48</v>
      </c>
      <c r="K97" s="2">
        <v>46066</v>
      </c>
      <c r="L97">
        <v>6</v>
      </c>
    </row>
    <row r="98" spans="1:12" x14ac:dyDescent="0.3">
      <c r="A98" t="s">
        <v>151</v>
      </c>
      <c r="B98" t="s">
        <v>76</v>
      </c>
      <c r="C98" t="s">
        <v>77</v>
      </c>
      <c r="D98" t="s">
        <v>15</v>
      </c>
      <c r="E98" t="s">
        <v>43</v>
      </c>
      <c r="F98" t="s">
        <v>22</v>
      </c>
      <c r="G98" s="1">
        <v>21765</v>
      </c>
      <c r="H98" s="1">
        <v>19242</v>
      </c>
      <c r="I98">
        <v>3</v>
      </c>
      <c r="J98" s="1">
        <v>1870.05</v>
      </c>
      <c r="K98" s="2">
        <v>46030</v>
      </c>
      <c r="L98">
        <v>10</v>
      </c>
    </row>
    <row r="99" spans="1:12" x14ac:dyDescent="0.3">
      <c r="A99" t="s">
        <v>152</v>
      </c>
      <c r="B99" t="s">
        <v>47</v>
      </c>
      <c r="C99" t="s">
        <v>48</v>
      </c>
      <c r="D99" t="s">
        <v>33</v>
      </c>
      <c r="E99" t="s">
        <v>21</v>
      </c>
      <c r="F99" t="s">
        <v>22</v>
      </c>
      <c r="G99" s="1">
        <v>89081</v>
      </c>
      <c r="H99" s="1">
        <v>76485</v>
      </c>
      <c r="I99">
        <v>12</v>
      </c>
      <c r="J99" s="1">
        <v>1906.28</v>
      </c>
      <c r="K99" s="2">
        <v>46265</v>
      </c>
      <c r="L99">
        <v>7</v>
      </c>
    </row>
    <row r="100" spans="1:12" x14ac:dyDescent="0.3">
      <c r="A100" t="s">
        <v>153</v>
      </c>
      <c r="B100" t="s">
        <v>66</v>
      </c>
      <c r="C100" t="s">
        <v>67</v>
      </c>
      <c r="D100" t="s">
        <v>57</v>
      </c>
      <c r="E100" t="s">
        <v>16</v>
      </c>
      <c r="F100" t="s">
        <v>17</v>
      </c>
      <c r="G100" s="1">
        <v>77907</v>
      </c>
      <c r="H100" s="1">
        <v>59269</v>
      </c>
      <c r="I100">
        <v>20</v>
      </c>
      <c r="J100" s="1">
        <v>3056.6</v>
      </c>
      <c r="K100" s="2">
        <v>46050</v>
      </c>
      <c r="L100">
        <v>4</v>
      </c>
    </row>
    <row r="101" spans="1:12" x14ac:dyDescent="0.3">
      <c r="A101" t="s">
        <v>154</v>
      </c>
      <c r="B101" t="s">
        <v>66</v>
      </c>
      <c r="C101" t="s">
        <v>67</v>
      </c>
      <c r="D101" t="s">
        <v>33</v>
      </c>
      <c r="E101" t="s">
        <v>43</v>
      </c>
      <c r="F101" t="s">
        <v>22</v>
      </c>
      <c r="G101" s="1">
        <v>89987</v>
      </c>
      <c r="H101" s="1">
        <v>64807</v>
      </c>
      <c r="I101">
        <v>3</v>
      </c>
      <c r="J101" s="1">
        <v>22480.39</v>
      </c>
      <c r="K101" s="2">
        <v>46224</v>
      </c>
      <c r="L101">
        <v>10</v>
      </c>
    </row>
    <row r="102" spans="1:12" x14ac:dyDescent="0.3">
      <c r="A102" t="s">
        <v>155</v>
      </c>
      <c r="B102" t="s">
        <v>37</v>
      </c>
      <c r="C102" t="s">
        <v>38</v>
      </c>
      <c r="D102" t="s">
        <v>33</v>
      </c>
      <c r="E102" t="s">
        <v>21</v>
      </c>
      <c r="F102" t="s">
        <v>22</v>
      </c>
      <c r="G102" s="1">
        <v>56448</v>
      </c>
      <c r="H102" s="1">
        <v>42205</v>
      </c>
      <c r="I102">
        <v>2</v>
      </c>
      <c r="J102" s="1">
        <v>13114.04</v>
      </c>
      <c r="K102" s="2">
        <v>46189</v>
      </c>
      <c r="L102">
        <v>9</v>
      </c>
    </row>
    <row r="103" spans="1:12" x14ac:dyDescent="0.3">
      <c r="A103" t="s">
        <v>156</v>
      </c>
      <c r="B103" t="s">
        <v>96</v>
      </c>
      <c r="C103" t="s">
        <v>97</v>
      </c>
      <c r="D103" t="s">
        <v>15</v>
      </c>
      <c r="E103" t="s">
        <v>43</v>
      </c>
      <c r="F103" t="s">
        <v>22</v>
      </c>
      <c r="G103" s="1">
        <v>55357</v>
      </c>
      <c r="H103" s="1">
        <v>45395</v>
      </c>
      <c r="I103">
        <v>3</v>
      </c>
      <c r="J103" s="1">
        <v>8301.2900000000009</v>
      </c>
      <c r="K103" s="2">
        <v>46269</v>
      </c>
      <c r="L103">
        <v>7</v>
      </c>
    </row>
    <row r="104" spans="1:12" x14ac:dyDescent="0.3">
      <c r="A104" t="s">
        <v>157</v>
      </c>
      <c r="B104" t="s">
        <v>96</v>
      </c>
      <c r="C104" t="s">
        <v>97</v>
      </c>
      <c r="D104" t="s">
        <v>29</v>
      </c>
      <c r="E104" t="s">
        <v>63</v>
      </c>
      <c r="F104" t="s">
        <v>22</v>
      </c>
      <c r="G104" s="1">
        <v>20352</v>
      </c>
      <c r="H104" s="1">
        <v>13146</v>
      </c>
      <c r="I104">
        <v>23</v>
      </c>
      <c r="J104" s="1">
        <v>2525.04</v>
      </c>
      <c r="K104" s="2">
        <v>46271</v>
      </c>
      <c r="L104">
        <v>9</v>
      </c>
    </row>
    <row r="105" spans="1:12" x14ac:dyDescent="0.3">
      <c r="A105" t="s">
        <v>158</v>
      </c>
      <c r="B105" t="s">
        <v>13</v>
      </c>
      <c r="C105" t="s">
        <v>14</v>
      </c>
      <c r="D105" t="s">
        <v>33</v>
      </c>
      <c r="E105" t="s">
        <v>21</v>
      </c>
      <c r="F105" t="s">
        <v>22</v>
      </c>
      <c r="G105" s="1">
        <v>70839</v>
      </c>
      <c r="H105" s="1">
        <v>56571</v>
      </c>
      <c r="I105">
        <v>14</v>
      </c>
      <c r="J105" s="1">
        <v>4350.54</v>
      </c>
      <c r="K105" s="2">
        <v>46235</v>
      </c>
      <c r="L105">
        <v>7</v>
      </c>
    </row>
    <row r="106" spans="1:12" x14ac:dyDescent="0.3">
      <c r="A106" t="s">
        <v>159</v>
      </c>
      <c r="B106" t="s">
        <v>66</v>
      </c>
      <c r="C106" t="s">
        <v>67</v>
      </c>
      <c r="D106" t="s">
        <v>33</v>
      </c>
      <c r="E106" t="s">
        <v>34</v>
      </c>
      <c r="F106" t="s">
        <v>17</v>
      </c>
      <c r="G106" s="1">
        <v>32477</v>
      </c>
      <c r="H106" s="1">
        <v>26755</v>
      </c>
      <c r="I106">
        <v>2</v>
      </c>
      <c r="J106" s="1">
        <v>5072.46</v>
      </c>
      <c r="K106" s="2">
        <v>46249</v>
      </c>
      <c r="L106">
        <v>5</v>
      </c>
    </row>
    <row r="107" spans="1:12" x14ac:dyDescent="0.3">
      <c r="A107" t="s">
        <v>160</v>
      </c>
      <c r="B107" t="s">
        <v>50</v>
      </c>
      <c r="C107" t="s">
        <v>51</v>
      </c>
      <c r="D107" t="s">
        <v>57</v>
      </c>
      <c r="E107" t="s">
        <v>43</v>
      </c>
      <c r="F107" t="s">
        <v>22</v>
      </c>
      <c r="G107" s="1">
        <v>61210</v>
      </c>
      <c r="H107" s="1">
        <v>43240</v>
      </c>
      <c r="I107">
        <v>21</v>
      </c>
      <c r="J107" s="1">
        <v>5115.8999999999996</v>
      </c>
      <c r="K107" s="2">
        <v>46110</v>
      </c>
      <c r="L107">
        <v>7</v>
      </c>
    </row>
    <row r="108" spans="1:12" x14ac:dyDescent="0.3">
      <c r="A108" t="s">
        <v>161</v>
      </c>
      <c r="B108" t="s">
        <v>37</v>
      </c>
      <c r="C108" t="s">
        <v>38</v>
      </c>
      <c r="D108" t="s">
        <v>29</v>
      </c>
      <c r="E108" t="s">
        <v>43</v>
      </c>
      <c r="F108" t="s">
        <v>22</v>
      </c>
      <c r="G108" s="1">
        <v>42900</v>
      </c>
      <c r="H108" s="1">
        <v>22815</v>
      </c>
      <c r="I108">
        <v>6</v>
      </c>
      <c r="J108" s="1">
        <v>17511</v>
      </c>
      <c r="K108" s="2">
        <v>46228</v>
      </c>
      <c r="L108">
        <v>6</v>
      </c>
    </row>
    <row r="109" spans="1:12" x14ac:dyDescent="0.3">
      <c r="A109" t="s">
        <v>162</v>
      </c>
      <c r="B109" t="s">
        <v>40</v>
      </c>
      <c r="C109" t="s">
        <v>41</v>
      </c>
      <c r="D109" t="s">
        <v>33</v>
      </c>
      <c r="E109" t="s">
        <v>34</v>
      </c>
      <c r="F109" t="s">
        <v>17</v>
      </c>
      <c r="G109" s="1">
        <v>78439</v>
      </c>
      <c r="H109" s="1">
        <v>60047</v>
      </c>
      <c r="I109">
        <v>8</v>
      </c>
      <c r="J109" s="1">
        <v>12116.88</v>
      </c>
      <c r="K109" s="2">
        <v>46026</v>
      </c>
      <c r="L109">
        <v>9</v>
      </c>
    </row>
    <row r="110" spans="1:12" x14ac:dyDescent="0.3">
      <c r="A110" t="s">
        <v>163</v>
      </c>
      <c r="B110" t="s">
        <v>24</v>
      </c>
      <c r="C110" t="s">
        <v>25</v>
      </c>
      <c r="D110" t="s">
        <v>57</v>
      </c>
      <c r="E110" t="s">
        <v>16</v>
      </c>
      <c r="F110" t="s">
        <v>17</v>
      </c>
      <c r="G110" s="1">
        <v>31935</v>
      </c>
      <c r="H110" s="1">
        <v>24718</v>
      </c>
      <c r="I110">
        <v>15</v>
      </c>
      <c r="J110" s="1">
        <v>2426.75</v>
      </c>
      <c r="K110" s="2">
        <v>46218</v>
      </c>
      <c r="L110">
        <v>9</v>
      </c>
    </row>
    <row r="111" spans="1:12" x14ac:dyDescent="0.3">
      <c r="A111" t="s">
        <v>164</v>
      </c>
      <c r="B111" t="s">
        <v>27</v>
      </c>
      <c r="C111" t="s">
        <v>28</v>
      </c>
      <c r="D111" t="s">
        <v>29</v>
      </c>
      <c r="E111" t="s">
        <v>63</v>
      </c>
      <c r="F111" t="s">
        <v>22</v>
      </c>
      <c r="G111" s="1">
        <v>93602</v>
      </c>
      <c r="H111" s="1">
        <v>62794</v>
      </c>
      <c r="I111">
        <v>25</v>
      </c>
      <c r="J111" s="1">
        <v>7407.5</v>
      </c>
      <c r="K111" s="2">
        <v>46047</v>
      </c>
      <c r="L111">
        <v>1</v>
      </c>
    </row>
    <row r="112" spans="1:12" x14ac:dyDescent="0.3">
      <c r="A112" t="s">
        <v>165</v>
      </c>
      <c r="B112" t="s">
        <v>40</v>
      </c>
      <c r="C112" t="s">
        <v>41</v>
      </c>
      <c r="D112" t="s">
        <v>57</v>
      </c>
      <c r="E112" t="s">
        <v>61</v>
      </c>
      <c r="F112" t="s">
        <v>17</v>
      </c>
      <c r="G112" s="1">
        <v>90973</v>
      </c>
      <c r="H112" s="1">
        <v>50898</v>
      </c>
      <c r="I112">
        <v>21</v>
      </c>
      <c r="J112" s="1">
        <v>20970.669999999998</v>
      </c>
      <c r="K112" s="2">
        <v>46118</v>
      </c>
      <c r="L112">
        <v>10</v>
      </c>
    </row>
    <row r="113" spans="1:12" x14ac:dyDescent="0.3">
      <c r="A113" t="s">
        <v>166</v>
      </c>
      <c r="B113" t="s">
        <v>50</v>
      </c>
      <c r="C113" t="s">
        <v>51</v>
      </c>
      <c r="D113" t="s">
        <v>33</v>
      </c>
      <c r="E113" t="s">
        <v>61</v>
      </c>
      <c r="F113" t="s">
        <v>17</v>
      </c>
      <c r="G113" s="1">
        <v>98071</v>
      </c>
      <c r="H113" s="1">
        <v>68421</v>
      </c>
      <c r="I113">
        <v>11</v>
      </c>
      <c r="J113" s="1">
        <v>18862.189999999999</v>
      </c>
      <c r="K113" s="2">
        <v>46093</v>
      </c>
      <c r="L113">
        <v>8</v>
      </c>
    </row>
    <row r="114" spans="1:12" x14ac:dyDescent="0.3">
      <c r="A114" t="s">
        <v>167</v>
      </c>
      <c r="B114" t="s">
        <v>40</v>
      </c>
      <c r="C114" t="s">
        <v>41</v>
      </c>
      <c r="D114" t="s">
        <v>33</v>
      </c>
      <c r="E114" t="s">
        <v>45</v>
      </c>
      <c r="F114" t="s">
        <v>17</v>
      </c>
      <c r="G114" s="1">
        <v>16114</v>
      </c>
      <c r="H114" s="1">
        <v>12481</v>
      </c>
      <c r="I114">
        <v>10</v>
      </c>
      <c r="J114" s="1">
        <v>2021.6</v>
      </c>
      <c r="K114" s="2">
        <v>46214</v>
      </c>
      <c r="L114">
        <v>2</v>
      </c>
    </row>
    <row r="115" spans="1:12" x14ac:dyDescent="0.3">
      <c r="A115" t="s">
        <v>168</v>
      </c>
      <c r="B115" t="s">
        <v>24</v>
      </c>
      <c r="C115" t="s">
        <v>25</v>
      </c>
      <c r="D115" t="s">
        <v>57</v>
      </c>
      <c r="E115" t="s">
        <v>45</v>
      </c>
      <c r="F115" t="s">
        <v>17</v>
      </c>
      <c r="G115" s="1">
        <v>28661</v>
      </c>
      <c r="H115" s="1">
        <v>22423</v>
      </c>
      <c r="I115">
        <v>8</v>
      </c>
      <c r="J115" s="1">
        <v>3945.12</v>
      </c>
      <c r="K115" s="2">
        <v>46218</v>
      </c>
      <c r="L115">
        <v>10</v>
      </c>
    </row>
    <row r="116" spans="1:12" x14ac:dyDescent="0.3">
      <c r="A116" t="s">
        <v>169</v>
      </c>
      <c r="B116" t="s">
        <v>24</v>
      </c>
      <c r="C116" t="s">
        <v>25</v>
      </c>
      <c r="D116" t="s">
        <v>33</v>
      </c>
      <c r="E116" t="s">
        <v>16</v>
      </c>
      <c r="F116" t="s">
        <v>17</v>
      </c>
      <c r="G116" s="1">
        <v>25743</v>
      </c>
      <c r="H116" s="1">
        <v>15016</v>
      </c>
      <c r="I116">
        <v>11</v>
      </c>
      <c r="J116" s="1">
        <v>7895.27</v>
      </c>
      <c r="K116" s="2">
        <v>46101</v>
      </c>
      <c r="L116">
        <v>3</v>
      </c>
    </row>
    <row r="117" spans="1:12" x14ac:dyDescent="0.3">
      <c r="A117" t="s">
        <v>170</v>
      </c>
      <c r="B117" t="s">
        <v>37</v>
      </c>
      <c r="C117" t="s">
        <v>38</v>
      </c>
      <c r="D117" t="s">
        <v>57</v>
      </c>
      <c r="E117" t="s">
        <v>34</v>
      </c>
      <c r="F117" t="s">
        <v>17</v>
      </c>
      <c r="G117" s="1">
        <v>6265</v>
      </c>
      <c r="H117" s="1">
        <v>5566</v>
      </c>
      <c r="I117">
        <v>17</v>
      </c>
      <c r="J117" s="1">
        <v>-366.05</v>
      </c>
      <c r="K117" s="2">
        <v>46202</v>
      </c>
      <c r="L117">
        <v>5</v>
      </c>
    </row>
    <row r="118" spans="1:12" x14ac:dyDescent="0.3">
      <c r="A118" t="s">
        <v>171</v>
      </c>
      <c r="B118" t="s">
        <v>99</v>
      </c>
      <c r="C118" t="s">
        <v>100</v>
      </c>
      <c r="D118" t="s">
        <v>29</v>
      </c>
      <c r="E118" t="s">
        <v>16</v>
      </c>
      <c r="F118" t="s">
        <v>17</v>
      </c>
      <c r="G118" s="1">
        <v>1907</v>
      </c>
      <c r="H118" s="1">
        <v>1350</v>
      </c>
      <c r="I118">
        <v>15</v>
      </c>
      <c r="J118" s="1">
        <v>270.95</v>
      </c>
      <c r="K118" s="2">
        <v>46136</v>
      </c>
      <c r="L118">
        <v>8</v>
      </c>
    </row>
    <row r="119" spans="1:12" x14ac:dyDescent="0.3">
      <c r="A119" t="s">
        <v>172</v>
      </c>
      <c r="B119" t="s">
        <v>96</v>
      </c>
      <c r="C119" t="s">
        <v>97</v>
      </c>
      <c r="D119" t="s">
        <v>57</v>
      </c>
      <c r="E119" t="s">
        <v>16</v>
      </c>
      <c r="F119" t="s">
        <v>17</v>
      </c>
      <c r="G119" s="1">
        <v>33392</v>
      </c>
      <c r="H119" s="1">
        <v>29167</v>
      </c>
      <c r="I119">
        <v>15</v>
      </c>
      <c r="J119" s="1">
        <v>-783.8</v>
      </c>
      <c r="K119" s="2">
        <v>46234</v>
      </c>
      <c r="L119">
        <v>2</v>
      </c>
    </row>
    <row r="120" spans="1:12" x14ac:dyDescent="0.3">
      <c r="A120" t="s">
        <v>173</v>
      </c>
      <c r="B120" t="s">
        <v>19</v>
      </c>
      <c r="C120" t="s">
        <v>20</v>
      </c>
      <c r="D120" t="s">
        <v>29</v>
      </c>
      <c r="E120" t="s">
        <v>61</v>
      </c>
      <c r="F120" t="s">
        <v>17</v>
      </c>
      <c r="G120" s="1">
        <v>10010</v>
      </c>
      <c r="H120" s="1">
        <v>7103</v>
      </c>
      <c r="I120">
        <v>21</v>
      </c>
      <c r="J120" s="1">
        <v>804.9</v>
      </c>
      <c r="K120" s="2">
        <v>46062</v>
      </c>
      <c r="L120">
        <v>1</v>
      </c>
    </row>
    <row r="121" spans="1:12" x14ac:dyDescent="0.3">
      <c r="A121" t="s">
        <v>174</v>
      </c>
      <c r="B121" t="s">
        <v>99</v>
      </c>
      <c r="C121" t="s">
        <v>100</v>
      </c>
      <c r="D121" t="s">
        <v>33</v>
      </c>
      <c r="E121" t="s">
        <v>16</v>
      </c>
      <c r="F121" t="s">
        <v>17</v>
      </c>
      <c r="G121" s="1">
        <v>32830</v>
      </c>
      <c r="H121" s="1">
        <v>16523</v>
      </c>
      <c r="I121">
        <v>24</v>
      </c>
      <c r="J121" s="1">
        <v>8427.7999999999993</v>
      </c>
      <c r="K121" s="2">
        <v>46179</v>
      </c>
      <c r="L121">
        <v>7</v>
      </c>
    </row>
    <row r="122" spans="1:12" x14ac:dyDescent="0.3">
      <c r="A122" t="s">
        <v>175</v>
      </c>
      <c r="B122" t="s">
        <v>76</v>
      </c>
      <c r="C122" t="s">
        <v>77</v>
      </c>
      <c r="D122" t="s">
        <v>57</v>
      </c>
      <c r="E122" t="s">
        <v>43</v>
      </c>
      <c r="F122" t="s">
        <v>22</v>
      </c>
      <c r="G122" s="1">
        <v>68794</v>
      </c>
      <c r="H122" s="1">
        <v>42732</v>
      </c>
      <c r="I122">
        <v>29</v>
      </c>
      <c r="J122" s="1">
        <v>6111.74</v>
      </c>
      <c r="K122" s="2">
        <v>46100</v>
      </c>
      <c r="L122">
        <v>8</v>
      </c>
    </row>
    <row r="123" spans="1:12" x14ac:dyDescent="0.3">
      <c r="A123" t="s">
        <v>176</v>
      </c>
      <c r="B123" t="s">
        <v>87</v>
      </c>
      <c r="C123" t="s">
        <v>88</v>
      </c>
      <c r="D123" t="s">
        <v>29</v>
      </c>
      <c r="E123" t="s">
        <v>34</v>
      </c>
      <c r="F123" t="s">
        <v>17</v>
      </c>
      <c r="G123" s="1">
        <v>74831</v>
      </c>
      <c r="H123" s="1">
        <v>54586</v>
      </c>
      <c r="I123">
        <v>19</v>
      </c>
      <c r="J123" s="1">
        <v>6027.11</v>
      </c>
      <c r="K123" s="2">
        <v>46266</v>
      </c>
      <c r="L123">
        <v>2</v>
      </c>
    </row>
    <row r="124" spans="1:12" x14ac:dyDescent="0.3">
      <c r="A124" t="s">
        <v>177</v>
      </c>
      <c r="B124" t="s">
        <v>53</v>
      </c>
      <c r="C124" t="s">
        <v>54</v>
      </c>
      <c r="D124" t="s">
        <v>57</v>
      </c>
      <c r="E124" t="s">
        <v>63</v>
      </c>
      <c r="F124" t="s">
        <v>22</v>
      </c>
      <c r="G124" s="1">
        <v>27959</v>
      </c>
      <c r="H124" s="1">
        <v>15911</v>
      </c>
      <c r="I124">
        <v>2</v>
      </c>
      <c r="J124" s="1">
        <v>11488.82</v>
      </c>
      <c r="K124" s="2">
        <v>46085</v>
      </c>
      <c r="L124">
        <v>3</v>
      </c>
    </row>
    <row r="125" spans="1:12" x14ac:dyDescent="0.3">
      <c r="A125" t="s">
        <v>178</v>
      </c>
      <c r="B125" t="s">
        <v>99</v>
      </c>
      <c r="C125" t="s">
        <v>100</v>
      </c>
      <c r="D125" t="s">
        <v>15</v>
      </c>
      <c r="E125" t="s">
        <v>45</v>
      </c>
      <c r="F125" t="s">
        <v>17</v>
      </c>
      <c r="G125" s="1">
        <v>650</v>
      </c>
      <c r="H125" s="1">
        <v>411</v>
      </c>
      <c r="I125">
        <v>22</v>
      </c>
      <c r="J125" s="1">
        <v>96</v>
      </c>
      <c r="K125" s="2">
        <v>46144</v>
      </c>
      <c r="L125">
        <v>10</v>
      </c>
    </row>
    <row r="126" spans="1:12" x14ac:dyDescent="0.3">
      <c r="A126" t="s">
        <v>179</v>
      </c>
      <c r="B126" t="s">
        <v>40</v>
      </c>
      <c r="C126" t="s">
        <v>41</v>
      </c>
      <c r="D126" t="s">
        <v>15</v>
      </c>
      <c r="E126" t="s">
        <v>45</v>
      </c>
      <c r="F126" t="s">
        <v>17</v>
      </c>
      <c r="G126" s="1">
        <v>38062</v>
      </c>
      <c r="H126" s="1">
        <v>29236</v>
      </c>
      <c r="I126">
        <v>22</v>
      </c>
      <c r="J126" s="1">
        <v>452.36</v>
      </c>
      <c r="K126" s="2">
        <v>46042</v>
      </c>
      <c r="L126">
        <v>8</v>
      </c>
    </row>
    <row r="127" spans="1:12" x14ac:dyDescent="0.3">
      <c r="A127" t="s">
        <v>180</v>
      </c>
      <c r="B127" t="s">
        <v>13</v>
      </c>
      <c r="C127" t="s">
        <v>14</v>
      </c>
      <c r="D127" t="s">
        <v>57</v>
      </c>
      <c r="E127" t="s">
        <v>34</v>
      </c>
      <c r="F127" t="s">
        <v>17</v>
      </c>
      <c r="G127" s="1">
        <v>82227</v>
      </c>
      <c r="H127" s="1">
        <v>58825</v>
      </c>
      <c r="I127">
        <v>25</v>
      </c>
      <c r="J127" s="1">
        <v>2845.25</v>
      </c>
      <c r="K127" s="2">
        <v>46132</v>
      </c>
      <c r="L127">
        <v>4</v>
      </c>
    </row>
    <row r="128" spans="1:12" x14ac:dyDescent="0.3">
      <c r="A128" t="s">
        <v>181</v>
      </c>
      <c r="B128" t="s">
        <v>19</v>
      </c>
      <c r="C128" t="s">
        <v>20</v>
      </c>
      <c r="D128" t="s">
        <v>57</v>
      </c>
      <c r="E128" t="s">
        <v>63</v>
      </c>
      <c r="F128" t="s">
        <v>22</v>
      </c>
      <c r="G128" s="1">
        <v>19828</v>
      </c>
      <c r="H128" s="1">
        <v>17027</v>
      </c>
      <c r="I128">
        <v>26</v>
      </c>
      <c r="J128" s="1">
        <v>-2354.2800000000002</v>
      </c>
      <c r="K128" s="2">
        <v>46042</v>
      </c>
      <c r="L128">
        <v>3</v>
      </c>
    </row>
    <row r="129" spans="1:12" x14ac:dyDescent="0.3">
      <c r="A129" t="s">
        <v>182</v>
      </c>
      <c r="B129" t="s">
        <v>37</v>
      </c>
      <c r="C129" t="s">
        <v>38</v>
      </c>
      <c r="D129" t="s">
        <v>57</v>
      </c>
      <c r="E129" t="s">
        <v>43</v>
      </c>
      <c r="F129" t="s">
        <v>22</v>
      </c>
      <c r="G129" s="1">
        <v>40619</v>
      </c>
      <c r="H129" s="1">
        <v>29155</v>
      </c>
      <c r="I129">
        <v>26</v>
      </c>
      <c r="J129" s="1">
        <v>903.06</v>
      </c>
      <c r="K129" s="2">
        <v>46259</v>
      </c>
      <c r="L129">
        <v>10</v>
      </c>
    </row>
    <row r="130" spans="1:12" x14ac:dyDescent="0.3">
      <c r="A130" t="s">
        <v>183</v>
      </c>
      <c r="B130" t="s">
        <v>40</v>
      </c>
      <c r="C130" t="s">
        <v>41</v>
      </c>
      <c r="D130" t="s">
        <v>29</v>
      </c>
      <c r="E130" t="s">
        <v>16</v>
      </c>
      <c r="F130" t="s">
        <v>17</v>
      </c>
      <c r="G130" s="1">
        <v>61733</v>
      </c>
      <c r="H130" s="1">
        <v>46911</v>
      </c>
      <c r="I130">
        <v>22</v>
      </c>
      <c r="J130" s="1">
        <v>1240.74</v>
      </c>
      <c r="K130" s="2">
        <v>46265</v>
      </c>
      <c r="L130">
        <v>7</v>
      </c>
    </row>
    <row r="131" spans="1:12" x14ac:dyDescent="0.3">
      <c r="A131" t="s">
        <v>184</v>
      </c>
      <c r="B131" t="s">
        <v>40</v>
      </c>
      <c r="C131" t="s">
        <v>41</v>
      </c>
      <c r="D131" t="s">
        <v>29</v>
      </c>
      <c r="E131" t="s">
        <v>61</v>
      </c>
      <c r="F131" t="s">
        <v>17</v>
      </c>
      <c r="G131" s="1">
        <v>10843</v>
      </c>
      <c r="H131" s="1">
        <v>7797</v>
      </c>
      <c r="I131">
        <v>28</v>
      </c>
      <c r="J131" s="1">
        <v>9.9600000000000009</v>
      </c>
      <c r="K131" s="2">
        <v>46212</v>
      </c>
      <c r="L131">
        <v>7</v>
      </c>
    </row>
    <row r="132" spans="1:12" x14ac:dyDescent="0.3">
      <c r="A132" t="s">
        <v>185</v>
      </c>
      <c r="B132" t="s">
        <v>96</v>
      </c>
      <c r="C132" t="s">
        <v>97</v>
      </c>
      <c r="D132" t="s">
        <v>33</v>
      </c>
      <c r="E132" t="s">
        <v>16</v>
      </c>
      <c r="F132" t="s">
        <v>17</v>
      </c>
      <c r="G132" s="1">
        <v>12270</v>
      </c>
      <c r="H132" s="1">
        <v>6785</v>
      </c>
      <c r="I132">
        <v>21</v>
      </c>
      <c r="J132" s="1">
        <v>2908.3</v>
      </c>
      <c r="K132" s="2">
        <v>46174</v>
      </c>
      <c r="L132">
        <v>10</v>
      </c>
    </row>
    <row r="133" spans="1:12" x14ac:dyDescent="0.3">
      <c r="A133" t="s">
        <v>186</v>
      </c>
      <c r="B133" t="s">
        <v>37</v>
      </c>
      <c r="C133" t="s">
        <v>38</v>
      </c>
      <c r="D133" t="s">
        <v>33</v>
      </c>
      <c r="E133" t="s">
        <v>21</v>
      </c>
      <c r="F133" t="s">
        <v>22</v>
      </c>
      <c r="G133" s="1">
        <v>5573</v>
      </c>
      <c r="H133" s="1">
        <v>4421</v>
      </c>
      <c r="I133">
        <v>5</v>
      </c>
      <c r="J133" s="1">
        <v>873.35</v>
      </c>
      <c r="K133" s="2">
        <v>46156</v>
      </c>
      <c r="L133">
        <v>8</v>
      </c>
    </row>
    <row r="134" spans="1:12" x14ac:dyDescent="0.3">
      <c r="A134" t="s">
        <v>187</v>
      </c>
      <c r="B134" t="s">
        <v>13</v>
      </c>
      <c r="C134" t="s">
        <v>14</v>
      </c>
      <c r="D134" t="s">
        <v>29</v>
      </c>
      <c r="E134" t="s">
        <v>34</v>
      </c>
      <c r="F134" t="s">
        <v>17</v>
      </c>
      <c r="G134" s="1">
        <v>24088</v>
      </c>
      <c r="H134" s="1">
        <v>21646</v>
      </c>
      <c r="I134">
        <v>13</v>
      </c>
      <c r="J134" s="1">
        <v>-689.44</v>
      </c>
      <c r="K134" s="2">
        <v>46272</v>
      </c>
      <c r="L134">
        <v>8</v>
      </c>
    </row>
    <row r="135" spans="1:12" x14ac:dyDescent="0.3">
      <c r="A135" t="s">
        <v>188</v>
      </c>
      <c r="B135" t="s">
        <v>19</v>
      </c>
      <c r="C135" t="s">
        <v>20</v>
      </c>
      <c r="D135" t="s">
        <v>29</v>
      </c>
      <c r="E135" t="s">
        <v>34</v>
      </c>
      <c r="F135" t="s">
        <v>17</v>
      </c>
      <c r="G135" s="1">
        <v>53823</v>
      </c>
      <c r="H135" s="1">
        <v>32293</v>
      </c>
      <c r="I135">
        <v>21</v>
      </c>
      <c r="J135" s="1">
        <v>10227.17</v>
      </c>
      <c r="K135" s="2">
        <v>46243</v>
      </c>
      <c r="L135">
        <v>2</v>
      </c>
    </row>
    <row r="136" spans="1:12" x14ac:dyDescent="0.3">
      <c r="A136" t="s">
        <v>189</v>
      </c>
      <c r="B136" t="s">
        <v>99</v>
      </c>
      <c r="C136" t="s">
        <v>100</v>
      </c>
      <c r="D136" t="s">
        <v>33</v>
      </c>
      <c r="E136" t="s">
        <v>61</v>
      </c>
      <c r="F136" t="s">
        <v>17</v>
      </c>
      <c r="G136" s="1">
        <v>91221</v>
      </c>
      <c r="H136" s="1">
        <v>61388</v>
      </c>
      <c r="I136">
        <v>21</v>
      </c>
      <c r="J136" s="1">
        <v>10676.59</v>
      </c>
      <c r="K136" s="2">
        <v>46232</v>
      </c>
      <c r="L136">
        <v>7</v>
      </c>
    </row>
    <row r="137" spans="1:12" x14ac:dyDescent="0.3">
      <c r="A137" t="s">
        <v>190</v>
      </c>
      <c r="B137" t="s">
        <v>53</v>
      </c>
      <c r="C137" t="s">
        <v>54</v>
      </c>
      <c r="D137" t="s">
        <v>15</v>
      </c>
      <c r="E137" t="s">
        <v>61</v>
      </c>
      <c r="F137" t="s">
        <v>17</v>
      </c>
      <c r="G137" s="1">
        <v>11842</v>
      </c>
      <c r="H137" s="1">
        <v>7004</v>
      </c>
      <c r="I137">
        <v>10</v>
      </c>
      <c r="J137" s="1">
        <v>3653.8</v>
      </c>
      <c r="K137" s="2">
        <v>46272</v>
      </c>
      <c r="L137">
        <v>2</v>
      </c>
    </row>
    <row r="138" spans="1:12" x14ac:dyDescent="0.3">
      <c r="A138" t="s">
        <v>191</v>
      </c>
      <c r="B138" t="s">
        <v>53</v>
      </c>
      <c r="C138" t="s">
        <v>54</v>
      </c>
      <c r="D138" t="s">
        <v>29</v>
      </c>
      <c r="E138" t="s">
        <v>43</v>
      </c>
      <c r="F138" t="s">
        <v>22</v>
      </c>
      <c r="G138" s="1">
        <v>67749</v>
      </c>
      <c r="H138" s="1">
        <v>55636</v>
      </c>
      <c r="I138">
        <v>0</v>
      </c>
      <c r="J138" s="1">
        <v>12113</v>
      </c>
      <c r="K138" s="2">
        <v>46142</v>
      </c>
      <c r="L138">
        <v>9</v>
      </c>
    </row>
    <row r="139" spans="1:12" x14ac:dyDescent="0.3">
      <c r="A139" t="s">
        <v>192</v>
      </c>
      <c r="B139" t="s">
        <v>31</v>
      </c>
      <c r="C139" t="s">
        <v>32</v>
      </c>
      <c r="D139" t="s">
        <v>15</v>
      </c>
      <c r="E139" t="s">
        <v>45</v>
      </c>
      <c r="F139" t="s">
        <v>17</v>
      </c>
      <c r="G139" s="1">
        <v>68252</v>
      </c>
      <c r="H139" s="1">
        <v>41824</v>
      </c>
      <c r="I139">
        <v>24</v>
      </c>
      <c r="J139" s="1">
        <v>10047.52</v>
      </c>
      <c r="K139" s="2">
        <v>46184</v>
      </c>
      <c r="L139">
        <v>8</v>
      </c>
    </row>
    <row r="140" spans="1:12" x14ac:dyDescent="0.3">
      <c r="A140" t="s">
        <v>193</v>
      </c>
      <c r="B140" t="s">
        <v>50</v>
      </c>
      <c r="C140" t="s">
        <v>51</v>
      </c>
      <c r="D140" t="s">
        <v>15</v>
      </c>
      <c r="E140" t="s">
        <v>45</v>
      </c>
      <c r="F140" t="s">
        <v>17</v>
      </c>
      <c r="G140" s="1">
        <v>35303</v>
      </c>
      <c r="H140" s="1">
        <v>24611</v>
      </c>
      <c r="I140">
        <v>29</v>
      </c>
      <c r="J140" s="1">
        <v>454.13</v>
      </c>
      <c r="K140" s="2">
        <v>46136</v>
      </c>
      <c r="L140">
        <v>5</v>
      </c>
    </row>
    <row r="141" spans="1:12" x14ac:dyDescent="0.3">
      <c r="A141" t="s">
        <v>194</v>
      </c>
      <c r="B141" t="s">
        <v>47</v>
      </c>
      <c r="C141" t="s">
        <v>48</v>
      </c>
      <c r="D141" t="s">
        <v>29</v>
      </c>
      <c r="E141" t="s">
        <v>16</v>
      </c>
      <c r="F141" t="s">
        <v>17</v>
      </c>
      <c r="G141" s="1">
        <v>4083</v>
      </c>
      <c r="H141" s="1">
        <v>3625</v>
      </c>
      <c r="I141">
        <v>19</v>
      </c>
      <c r="J141" s="1">
        <v>-317.77</v>
      </c>
      <c r="K141" s="2">
        <v>46205</v>
      </c>
      <c r="L141">
        <v>4</v>
      </c>
    </row>
    <row r="142" spans="1:12" x14ac:dyDescent="0.3">
      <c r="A142" t="s">
        <v>195</v>
      </c>
      <c r="B142" t="s">
        <v>99</v>
      </c>
      <c r="C142" t="s">
        <v>100</v>
      </c>
      <c r="D142" t="s">
        <v>33</v>
      </c>
      <c r="E142" t="s">
        <v>21</v>
      </c>
      <c r="F142" t="s">
        <v>22</v>
      </c>
      <c r="G142" s="1">
        <v>2092</v>
      </c>
      <c r="H142" s="1">
        <v>1461</v>
      </c>
      <c r="I142">
        <v>2</v>
      </c>
      <c r="J142" s="1">
        <v>589.16</v>
      </c>
      <c r="K142" s="2">
        <v>46239</v>
      </c>
      <c r="L142">
        <v>4</v>
      </c>
    </row>
    <row r="143" spans="1:12" x14ac:dyDescent="0.3">
      <c r="A143" t="s">
        <v>196</v>
      </c>
      <c r="B143" t="s">
        <v>47</v>
      </c>
      <c r="C143" t="s">
        <v>48</v>
      </c>
      <c r="D143" t="s">
        <v>15</v>
      </c>
      <c r="E143" t="s">
        <v>61</v>
      </c>
      <c r="F143" t="s">
        <v>17</v>
      </c>
      <c r="G143" s="1">
        <v>15696</v>
      </c>
      <c r="H143" s="1">
        <v>11638</v>
      </c>
      <c r="I143">
        <v>4</v>
      </c>
      <c r="J143" s="1">
        <v>3430.16</v>
      </c>
      <c r="K143" s="2">
        <v>46262</v>
      </c>
      <c r="L143">
        <v>8</v>
      </c>
    </row>
    <row r="144" spans="1:12" x14ac:dyDescent="0.3">
      <c r="A144" t="s">
        <v>197</v>
      </c>
      <c r="B144" t="s">
        <v>66</v>
      </c>
      <c r="C144" t="s">
        <v>67</v>
      </c>
      <c r="D144" t="s">
        <v>33</v>
      </c>
      <c r="E144" t="s">
        <v>21</v>
      </c>
      <c r="F144" t="s">
        <v>22</v>
      </c>
      <c r="G144" s="1">
        <v>92759</v>
      </c>
      <c r="H144" s="1">
        <v>53154</v>
      </c>
      <c r="I144">
        <v>26</v>
      </c>
      <c r="J144" s="1">
        <v>15487.66</v>
      </c>
      <c r="K144" s="2">
        <v>46144</v>
      </c>
      <c r="L144">
        <v>8</v>
      </c>
    </row>
    <row r="145" spans="1:12" x14ac:dyDescent="0.3">
      <c r="A145" t="s">
        <v>198</v>
      </c>
      <c r="B145" t="s">
        <v>27</v>
      </c>
      <c r="C145" t="s">
        <v>28</v>
      </c>
      <c r="D145" t="s">
        <v>29</v>
      </c>
      <c r="E145" t="s">
        <v>21</v>
      </c>
      <c r="F145" t="s">
        <v>22</v>
      </c>
      <c r="G145" s="1">
        <v>19258</v>
      </c>
      <c r="H145" s="1">
        <v>11990</v>
      </c>
      <c r="I145">
        <v>29</v>
      </c>
      <c r="J145" s="1">
        <v>1683.18</v>
      </c>
      <c r="K145" s="2">
        <v>46154</v>
      </c>
      <c r="L145">
        <v>10</v>
      </c>
    </row>
    <row r="146" spans="1:12" x14ac:dyDescent="0.3">
      <c r="A146" t="s">
        <v>199</v>
      </c>
      <c r="B146" t="s">
        <v>66</v>
      </c>
      <c r="C146" t="s">
        <v>67</v>
      </c>
      <c r="D146" t="s">
        <v>57</v>
      </c>
      <c r="E146" t="s">
        <v>43</v>
      </c>
      <c r="F146" t="s">
        <v>22</v>
      </c>
      <c r="G146" s="1">
        <v>9450</v>
      </c>
      <c r="H146" s="1">
        <v>5427</v>
      </c>
      <c r="I146">
        <v>25</v>
      </c>
      <c r="J146" s="1">
        <v>1660.5</v>
      </c>
      <c r="K146" s="2">
        <v>46111</v>
      </c>
      <c r="L146">
        <v>7</v>
      </c>
    </row>
    <row r="147" spans="1:12" x14ac:dyDescent="0.3">
      <c r="A147" t="s">
        <v>200</v>
      </c>
      <c r="B147" t="s">
        <v>47</v>
      </c>
      <c r="C147" t="s">
        <v>48</v>
      </c>
      <c r="D147" t="s">
        <v>33</v>
      </c>
      <c r="E147" t="s">
        <v>43</v>
      </c>
      <c r="F147" t="s">
        <v>22</v>
      </c>
      <c r="G147" s="1">
        <v>636</v>
      </c>
      <c r="H147" s="1">
        <v>367</v>
      </c>
      <c r="I147">
        <v>9</v>
      </c>
      <c r="J147" s="1">
        <v>211.76</v>
      </c>
      <c r="K147" s="2">
        <v>46172</v>
      </c>
      <c r="L147">
        <v>10</v>
      </c>
    </row>
    <row r="148" spans="1:12" x14ac:dyDescent="0.3">
      <c r="A148" t="s">
        <v>201</v>
      </c>
      <c r="B148" t="s">
        <v>13</v>
      </c>
      <c r="C148" t="s">
        <v>14</v>
      </c>
      <c r="D148" t="s">
        <v>29</v>
      </c>
      <c r="E148" t="s">
        <v>43</v>
      </c>
      <c r="F148" t="s">
        <v>22</v>
      </c>
      <c r="G148" s="1">
        <v>19776</v>
      </c>
      <c r="H148" s="1">
        <v>12873</v>
      </c>
      <c r="I148">
        <v>15</v>
      </c>
      <c r="J148" s="1">
        <v>3936.6</v>
      </c>
      <c r="K148" s="2">
        <v>46109</v>
      </c>
      <c r="L148">
        <v>6</v>
      </c>
    </row>
    <row r="149" spans="1:12" x14ac:dyDescent="0.3">
      <c r="A149" t="s">
        <v>202</v>
      </c>
      <c r="B149" t="s">
        <v>24</v>
      </c>
      <c r="C149" t="s">
        <v>25</v>
      </c>
      <c r="D149" t="s">
        <v>29</v>
      </c>
      <c r="E149" t="s">
        <v>61</v>
      </c>
      <c r="F149" t="s">
        <v>17</v>
      </c>
      <c r="G149" s="1">
        <v>42476</v>
      </c>
      <c r="H149" s="1">
        <v>35735</v>
      </c>
      <c r="I149">
        <v>22</v>
      </c>
      <c r="J149" s="1">
        <v>-2603.7199999999998</v>
      </c>
      <c r="K149" s="2">
        <v>46170</v>
      </c>
      <c r="L149">
        <v>4</v>
      </c>
    </row>
    <row r="150" spans="1:12" x14ac:dyDescent="0.3">
      <c r="A150" t="s">
        <v>203</v>
      </c>
      <c r="B150" t="s">
        <v>31</v>
      </c>
      <c r="C150" t="s">
        <v>32</v>
      </c>
      <c r="D150" t="s">
        <v>57</v>
      </c>
      <c r="E150" t="s">
        <v>43</v>
      </c>
      <c r="F150" t="s">
        <v>22</v>
      </c>
      <c r="G150" s="1">
        <v>54141</v>
      </c>
      <c r="H150" s="1">
        <v>25426</v>
      </c>
      <c r="I150">
        <v>23</v>
      </c>
      <c r="J150" s="1">
        <v>16262.57</v>
      </c>
      <c r="K150" s="2">
        <v>46204</v>
      </c>
      <c r="L150">
        <v>8</v>
      </c>
    </row>
    <row r="151" spans="1:12" x14ac:dyDescent="0.3">
      <c r="A151" t="s">
        <v>204</v>
      </c>
      <c r="B151" t="s">
        <v>47</v>
      </c>
      <c r="C151" t="s">
        <v>48</v>
      </c>
      <c r="D151" t="s">
        <v>29</v>
      </c>
      <c r="E151" t="s">
        <v>61</v>
      </c>
      <c r="F151" t="s">
        <v>17</v>
      </c>
      <c r="G151" s="1">
        <v>87291</v>
      </c>
      <c r="H151" s="1">
        <v>70406</v>
      </c>
      <c r="I151">
        <v>20</v>
      </c>
      <c r="J151" s="1">
        <v>-573.20000000000005</v>
      </c>
      <c r="K151" s="2">
        <v>46150</v>
      </c>
      <c r="L151">
        <v>3</v>
      </c>
    </row>
    <row r="152" spans="1:12" x14ac:dyDescent="0.3">
      <c r="A152" t="s">
        <v>205</v>
      </c>
      <c r="B152" t="s">
        <v>37</v>
      </c>
      <c r="C152" t="s">
        <v>38</v>
      </c>
      <c r="D152" t="s">
        <v>57</v>
      </c>
      <c r="E152" t="s">
        <v>21</v>
      </c>
      <c r="F152" t="s">
        <v>22</v>
      </c>
      <c r="G152" s="1">
        <v>77656</v>
      </c>
      <c r="H152" s="1">
        <v>46546</v>
      </c>
      <c r="I152">
        <v>3</v>
      </c>
      <c r="J152" s="1">
        <v>28780.32</v>
      </c>
      <c r="K152" s="2">
        <v>46049</v>
      </c>
      <c r="L152">
        <v>8</v>
      </c>
    </row>
    <row r="153" spans="1:12" x14ac:dyDescent="0.3">
      <c r="A153" t="s">
        <v>206</v>
      </c>
      <c r="B153" t="s">
        <v>24</v>
      </c>
      <c r="C153" t="s">
        <v>25</v>
      </c>
      <c r="D153" t="s">
        <v>29</v>
      </c>
      <c r="E153" t="s">
        <v>16</v>
      </c>
      <c r="F153" t="s">
        <v>17</v>
      </c>
      <c r="G153" s="1">
        <v>94992</v>
      </c>
      <c r="H153" s="1">
        <v>48908</v>
      </c>
      <c r="I153">
        <v>27</v>
      </c>
      <c r="J153" s="1">
        <v>20436.16</v>
      </c>
      <c r="K153" s="2">
        <v>46043</v>
      </c>
      <c r="L153">
        <v>3</v>
      </c>
    </row>
    <row r="154" spans="1:12" x14ac:dyDescent="0.3">
      <c r="A154" t="s">
        <v>207</v>
      </c>
      <c r="B154" t="s">
        <v>50</v>
      </c>
      <c r="C154" t="s">
        <v>51</v>
      </c>
      <c r="D154" t="s">
        <v>33</v>
      </c>
      <c r="E154" t="s">
        <v>34</v>
      </c>
      <c r="F154" t="s">
        <v>17</v>
      </c>
      <c r="G154" s="1">
        <v>81991</v>
      </c>
      <c r="H154" s="1">
        <v>62453</v>
      </c>
      <c r="I154">
        <v>20</v>
      </c>
      <c r="J154" s="1">
        <v>3139.8</v>
      </c>
      <c r="K154" s="2">
        <v>46242</v>
      </c>
      <c r="L154">
        <v>2</v>
      </c>
    </row>
    <row r="155" spans="1:12" x14ac:dyDescent="0.3">
      <c r="A155" t="s">
        <v>208</v>
      </c>
      <c r="B155" t="s">
        <v>96</v>
      </c>
      <c r="C155" t="s">
        <v>97</v>
      </c>
      <c r="D155" t="s">
        <v>29</v>
      </c>
      <c r="E155" t="s">
        <v>34</v>
      </c>
      <c r="F155" t="s">
        <v>17</v>
      </c>
      <c r="G155" s="1">
        <v>82455</v>
      </c>
      <c r="H155" s="1">
        <v>63772</v>
      </c>
      <c r="I155">
        <v>24</v>
      </c>
      <c r="J155" s="1">
        <v>-1106.2</v>
      </c>
      <c r="K155" s="2">
        <v>46247</v>
      </c>
      <c r="L155">
        <v>8</v>
      </c>
    </row>
    <row r="156" spans="1:12" x14ac:dyDescent="0.3">
      <c r="A156" t="s">
        <v>209</v>
      </c>
      <c r="B156" t="s">
        <v>24</v>
      </c>
      <c r="C156" t="s">
        <v>25</v>
      </c>
      <c r="D156" t="s">
        <v>15</v>
      </c>
      <c r="E156" t="s">
        <v>21</v>
      </c>
      <c r="F156" t="s">
        <v>22</v>
      </c>
      <c r="G156" s="1">
        <v>9268</v>
      </c>
      <c r="H156" s="1">
        <v>5149</v>
      </c>
      <c r="I156">
        <v>21</v>
      </c>
      <c r="J156" s="1">
        <v>2172.7199999999998</v>
      </c>
      <c r="K156" s="2">
        <v>46082</v>
      </c>
      <c r="L156">
        <v>5</v>
      </c>
    </row>
    <row r="157" spans="1:12" x14ac:dyDescent="0.3">
      <c r="A157" t="s">
        <v>210</v>
      </c>
      <c r="B157" t="s">
        <v>66</v>
      </c>
      <c r="C157" t="s">
        <v>67</v>
      </c>
      <c r="D157" t="s">
        <v>15</v>
      </c>
      <c r="E157" t="s">
        <v>61</v>
      </c>
      <c r="F157" t="s">
        <v>17</v>
      </c>
      <c r="G157" s="1">
        <v>13203</v>
      </c>
      <c r="H157" s="1">
        <v>10458</v>
      </c>
      <c r="I157">
        <v>22</v>
      </c>
      <c r="J157" s="1">
        <v>-159.66</v>
      </c>
      <c r="K157" s="2">
        <v>46137</v>
      </c>
      <c r="L157">
        <v>2</v>
      </c>
    </row>
    <row r="158" spans="1:12" x14ac:dyDescent="0.3">
      <c r="A158" t="s">
        <v>211</v>
      </c>
      <c r="B158" t="s">
        <v>99</v>
      </c>
      <c r="C158" t="s">
        <v>100</v>
      </c>
      <c r="D158" t="s">
        <v>33</v>
      </c>
      <c r="E158" t="s">
        <v>16</v>
      </c>
      <c r="F158" t="s">
        <v>17</v>
      </c>
      <c r="G158" s="1">
        <v>6328</v>
      </c>
      <c r="H158" s="1">
        <v>3771</v>
      </c>
      <c r="I158">
        <v>1</v>
      </c>
      <c r="J158" s="1">
        <v>2493.7199999999998</v>
      </c>
      <c r="K158" s="2">
        <v>46115</v>
      </c>
      <c r="L158">
        <v>5</v>
      </c>
    </row>
    <row r="159" spans="1:12" x14ac:dyDescent="0.3">
      <c r="A159" t="s">
        <v>212</v>
      </c>
      <c r="B159" t="s">
        <v>96</v>
      </c>
      <c r="C159" t="s">
        <v>97</v>
      </c>
      <c r="D159" t="s">
        <v>29</v>
      </c>
      <c r="E159" t="s">
        <v>45</v>
      </c>
      <c r="F159" t="s">
        <v>17</v>
      </c>
      <c r="G159" s="1">
        <v>32307</v>
      </c>
      <c r="H159" s="1">
        <v>22260</v>
      </c>
      <c r="I159">
        <v>18</v>
      </c>
      <c r="J159" s="1">
        <v>4231.74</v>
      </c>
      <c r="K159" s="2">
        <v>46067</v>
      </c>
      <c r="L159">
        <v>3</v>
      </c>
    </row>
    <row r="160" spans="1:12" x14ac:dyDescent="0.3">
      <c r="A160" t="s">
        <v>213</v>
      </c>
      <c r="B160" t="s">
        <v>99</v>
      </c>
      <c r="C160" t="s">
        <v>100</v>
      </c>
      <c r="D160" t="s">
        <v>15</v>
      </c>
      <c r="E160" t="s">
        <v>21</v>
      </c>
      <c r="F160" t="s">
        <v>22</v>
      </c>
      <c r="G160" s="1">
        <v>50440</v>
      </c>
      <c r="H160" s="1">
        <v>36764</v>
      </c>
      <c r="I160">
        <v>7</v>
      </c>
      <c r="J160" s="1">
        <v>10145.200000000001</v>
      </c>
      <c r="K160" s="2">
        <v>46257</v>
      </c>
      <c r="L160">
        <v>8</v>
      </c>
    </row>
    <row r="161" spans="1:12" x14ac:dyDescent="0.3">
      <c r="A161" t="s">
        <v>214</v>
      </c>
      <c r="B161" t="s">
        <v>76</v>
      </c>
      <c r="C161" t="s">
        <v>77</v>
      </c>
      <c r="D161" t="s">
        <v>57</v>
      </c>
      <c r="E161" t="s">
        <v>45</v>
      </c>
      <c r="F161" t="s">
        <v>17</v>
      </c>
      <c r="G161" s="1">
        <v>60743</v>
      </c>
      <c r="H161" s="1">
        <v>44771</v>
      </c>
      <c r="I161">
        <v>14</v>
      </c>
      <c r="J161" s="1">
        <v>7467.98</v>
      </c>
      <c r="K161" s="2">
        <v>46194</v>
      </c>
      <c r="L161">
        <v>5</v>
      </c>
    </row>
    <row r="162" spans="1:12" x14ac:dyDescent="0.3">
      <c r="A162" t="s">
        <v>215</v>
      </c>
      <c r="B162" t="s">
        <v>37</v>
      </c>
      <c r="C162" t="s">
        <v>38</v>
      </c>
      <c r="D162" t="s">
        <v>29</v>
      </c>
      <c r="E162" t="s">
        <v>34</v>
      </c>
      <c r="F162" t="s">
        <v>17</v>
      </c>
      <c r="G162" s="1">
        <v>89115</v>
      </c>
      <c r="H162" s="1">
        <v>62021</v>
      </c>
      <c r="I162">
        <v>2</v>
      </c>
      <c r="J162" s="1">
        <v>25311.7</v>
      </c>
      <c r="K162" s="2">
        <v>46265</v>
      </c>
      <c r="L162">
        <v>8</v>
      </c>
    </row>
    <row r="163" spans="1:12" x14ac:dyDescent="0.3">
      <c r="A163" t="s">
        <v>216</v>
      </c>
      <c r="B163" t="s">
        <v>96</v>
      </c>
      <c r="C163" t="s">
        <v>97</v>
      </c>
      <c r="D163" t="s">
        <v>33</v>
      </c>
      <c r="E163" t="s">
        <v>63</v>
      </c>
      <c r="F163" t="s">
        <v>22</v>
      </c>
      <c r="G163" s="1">
        <v>55915</v>
      </c>
      <c r="H163" s="1">
        <v>42531</v>
      </c>
      <c r="I163">
        <v>14</v>
      </c>
      <c r="J163" s="1">
        <v>5555.9</v>
      </c>
      <c r="K163" s="2">
        <v>46074</v>
      </c>
      <c r="L163">
        <v>5</v>
      </c>
    </row>
    <row r="164" spans="1:12" x14ac:dyDescent="0.3">
      <c r="A164" t="s">
        <v>217</v>
      </c>
      <c r="B164" t="s">
        <v>31</v>
      </c>
      <c r="C164" t="s">
        <v>32</v>
      </c>
      <c r="D164" t="s">
        <v>29</v>
      </c>
      <c r="E164" t="s">
        <v>16</v>
      </c>
      <c r="F164" t="s">
        <v>17</v>
      </c>
      <c r="G164" s="1">
        <v>31391</v>
      </c>
      <c r="H164" s="1">
        <v>19513</v>
      </c>
      <c r="I164">
        <v>11</v>
      </c>
      <c r="J164" s="1">
        <v>8424.99</v>
      </c>
      <c r="K164" s="2">
        <v>46099</v>
      </c>
      <c r="L164">
        <v>10</v>
      </c>
    </row>
    <row r="165" spans="1:12" x14ac:dyDescent="0.3">
      <c r="A165" t="s">
        <v>218</v>
      </c>
      <c r="B165" t="s">
        <v>66</v>
      </c>
      <c r="C165" t="s">
        <v>67</v>
      </c>
      <c r="D165" t="s">
        <v>33</v>
      </c>
      <c r="E165" t="s">
        <v>16</v>
      </c>
      <c r="F165" t="s">
        <v>17</v>
      </c>
      <c r="G165" s="1">
        <v>86575</v>
      </c>
      <c r="H165" s="1">
        <v>54378</v>
      </c>
      <c r="I165">
        <v>0</v>
      </c>
      <c r="J165" s="1">
        <v>32197</v>
      </c>
      <c r="K165" s="2">
        <v>46245</v>
      </c>
      <c r="L165">
        <v>10</v>
      </c>
    </row>
    <row r="166" spans="1:12" x14ac:dyDescent="0.3">
      <c r="A166" t="s">
        <v>219</v>
      </c>
      <c r="B166" t="s">
        <v>13</v>
      </c>
      <c r="C166" t="s">
        <v>14</v>
      </c>
      <c r="D166" t="s">
        <v>15</v>
      </c>
      <c r="E166" t="s">
        <v>21</v>
      </c>
      <c r="F166" t="s">
        <v>22</v>
      </c>
      <c r="G166" s="1">
        <v>97971</v>
      </c>
      <c r="H166" s="1">
        <v>65986</v>
      </c>
      <c r="I166">
        <v>28</v>
      </c>
      <c r="J166" s="1">
        <v>4553.12</v>
      </c>
      <c r="K166" s="2">
        <v>46222</v>
      </c>
      <c r="L166">
        <v>5</v>
      </c>
    </row>
    <row r="167" spans="1:12" x14ac:dyDescent="0.3">
      <c r="A167" t="s">
        <v>220</v>
      </c>
      <c r="B167" t="s">
        <v>53</v>
      </c>
      <c r="C167" t="s">
        <v>54</v>
      </c>
      <c r="D167" t="s">
        <v>57</v>
      </c>
      <c r="E167" t="s">
        <v>21</v>
      </c>
      <c r="F167" t="s">
        <v>22</v>
      </c>
      <c r="G167" s="1">
        <v>46479</v>
      </c>
      <c r="H167" s="1">
        <v>25496</v>
      </c>
      <c r="I167">
        <v>6</v>
      </c>
      <c r="J167" s="1">
        <v>18194.259999999998</v>
      </c>
      <c r="K167" s="2">
        <v>46088</v>
      </c>
      <c r="L167">
        <v>10</v>
      </c>
    </row>
    <row r="168" spans="1:12" x14ac:dyDescent="0.3">
      <c r="A168" t="s">
        <v>221</v>
      </c>
      <c r="B168" t="s">
        <v>13</v>
      </c>
      <c r="C168" t="s">
        <v>14</v>
      </c>
      <c r="D168" t="s">
        <v>57</v>
      </c>
      <c r="E168" t="s">
        <v>63</v>
      </c>
      <c r="F168" t="s">
        <v>22</v>
      </c>
      <c r="G168" s="1">
        <v>13035</v>
      </c>
      <c r="H168" s="1">
        <v>11164</v>
      </c>
      <c r="I168">
        <v>20</v>
      </c>
      <c r="J168" s="1">
        <v>-736</v>
      </c>
      <c r="K168" s="2">
        <v>46103</v>
      </c>
      <c r="L168">
        <v>1</v>
      </c>
    </row>
    <row r="169" spans="1:12" x14ac:dyDescent="0.3">
      <c r="A169" t="s">
        <v>222</v>
      </c>
      <c r="B169" t="s">
        <v>53</v>
      </c>
      <c r="C169" t="s">
        <v>54</v>
      </c>
      <c r="D169" t="s">
        <v>29</v>
      </c>
      <c r="E169" t="s">
        <v>16</v>
      </c>
      <c r="F169" t="s">
        <v>17</v>
      </c>
      <c r="G169" s="1">
        <v>76265</v>
      </c>
      <c r="H169" s="1">
        <v>46841</v>
      </c>
      <c r="I169">
        <v>4</v>
      </c>
      <c r="J169" s="1">
        <v>26373.4</v>
      </c>
      <c r="K169" s="2">
        <v>46256</v>
      </c>
      <c r="L169">
        <v>2</v>
      </c>
    </row>
    <row r="170" spans="1:12" x14ac:dyDescent="0.3">
      <c r="A170" t="s">
        <v>223</v>
      </c>
      <c r="B170" t="s">
        <v>40</v>
      </c>
      <c r="C170" t="s">
        <v>41</v>
      </c>
      <c r="D170" t="s">
        <v>33</v>
      </c>
      <c r="E170" t="s">
        <v>63</v>
      </c>
      <c r="F170" t="s">
        <v>22</v>
      </c>
      <c r="G170" s="1">
        <v>54760</v>
      </c>
      <c r="H170" s="1">
        <v>28970</v>
      </c>
      <c r="I170">
        <v>4</v>
      </c>
      <c r="J170" s="1">
        <v>23599.599999999999</v>
      </c>
      <c r="K170" s="2">
        <v>46248</v>
      </c>
      <c r="L170">
        <v>9</v>
      </c>
    </row>
    <row r="171" spans="1:12" x14ac:dyDescent="0.3">
      <c r="A171" t="s">
        <v>224</v>
      </c>
      <c r="B171" t="s">
        <v>96</v>
      </c>
      <c r="C171" t="s">
        <v>97</v>
      </c>
      <c r="D171" t="s">
        <v>33</v>
      </c>
      <c r="E171" t="s">
        <v>43</v>
      </c>
      <c r="F171" t="s">
        <v>22</v>
      </c>
      <c r="G171" s="1">
        <v>21867</v>
      </c>
      <c r="H171" s="1">
        <v>12368</v>
      </c>
      <c r="I171">
        <v>26</v>
      </c>
      <c r="J171" s="1">
        <v>3813.58</v>
      </c>
      <c r="K171" s="2">
        <v>46271</v>
      </c>
      <c r="L171">
        <v>8</v>
      </c>
    </row>
    <row r="172" spans="1:12" x14ac:dyDescent="0.3">
      <c r="A172" t="s">
        <v>225</v>
      </c>
      <c r="B172" t="s">
        <v>53</v>
      </c>
      <c r="C172" t="s">
        <v>54</v>
      </c>
      <c r="D172" t="s">
        <v>33</v>
      </c>
      <c r="E172" t="s">
        <v>63</v>
      </c>
      <c r="F172" t="s">
        <v>22</v>
      </c>
      <c r="G172" s="1">
        <v>44696</v>
      </c>
      <c r="H172" s="1">
        <v>36288</v>
      </c>
      <c r="I172">
        <v>14</v>
      </c>
      <c r="J172" s="1">
        <v>2150.56</v>
      </c>
      <c r="K172" s="2">
        <v>46060</v>
      </c>
      <c r="L172">
        <v>2</v>
      </c>
    </row>
    <row r="173" spans="1:12" x14ac:dyDescent="0.3">
      <c r="A173" t="s">
        <v>226</v>
      </c>
      <c r="B173" t="s">
        <v>53</v>
      </c>
      <c r="C173" t="s">
        <v>54</v>
      </c>
      <c r="D173" t="s">
        <v>57</v>
      </c>
      <c r="E173" t="s">
        <v>43</v>
      </c>
      <c r="F173" t="s">
        <v>22</v>
      </c>
      <c r="G173" s="1">
        <v>88947</v>
      </c>
      <c r="H173" s="1">
        <v>69013</v>
      </c>
      <c r="I173">
        <v>12</v>
      </c>
      <c r="J173" s="1">
        <v>9260.36</v>
      </c>
      <c r="K173" s="2">
        <v>46117</v>
      </c>
      <c r="L173">
        <v>9</v>
      </c>
    </row>
    <row r="174" spans="1:12" x14ac:dyDescent="0.3">
      <c r="A174" t="s">
        <v>227</v>
      </c>
      <c r="B174" t="s">
        <v>19</v>
      </c>
      <c r="C174" t="s">
        <v>20</v>
      </c>
      <c r="D174" t="s">
        <v>29</v>
      </c>
      <c r="E174" t="s">
        <v>16</v>
      </c>
      <c r="F174" t="s">
        <v>17</v>
      </c>
      <c r="G174" s="1">
        <v>34963</v>
      </c>
      <c r="H174" s="1">
        <v>24175</v>
      </c>
      <c r="I174">
        <v>14</v>
      </c>
      <c r="J174" s="1">
        <v>5893.18</v>
      </c>
      <c r="K174" s="2">
        <v>46196</v>
      </c>
      <c r="L174">
        <v>6</v>
      </c>
    </row>
    <row r="175" spans="1:12" x14ac:dyDescent="0.3">
      <c r="A175" t="s">
        <v>228</v>
      </c>
      <c r="B175" t="s">
        <v>66</v>
      </c>
      <c r="C175" t="s">
        <v>67</v>
      </c>
      <c r="D175" t="s">
        <v>33</v>
      </c>
      <c r="E175" t="s">
        <v>21</v>
      </c>
      <c r="F175" t="s">
        <v>22</v>
      </c>
      <c r="G175" s="1">
        <v>50241</v>
      </c>
      <c r="H175" s="1">
        <v>41202</v>
      </c>
      <c r="I175">
        <v>30</v>
      </c>
      <c r="J175" s="1">
        <v>-6033.3</v>
      </c>
      <c r="K175" s="2">
        <v>46051</v>
      </c>
      <c r="L175">
        <v>6</v>
      </c>
    </row>
    <row r="176" spans="1:12" x14ac:dyDescent="0.3">
      <c r="A176" t="s">
        <v>229</v>
      </c>
      <c r="B176" t="s">
        <v>13</v>
      </c>
      <c r="C176" t="s">
        <v>14</v>
      </c>
      <c r="D176" t="s">
        <v>57</v>
      </c>
      <c r="E176" t="s">
        <v>61</v>
      </c>
      <c r="F176" t="s">
        <v>17</v>
      </c>
      <c r="G176" s="1">
        <v>3580</v>
      </c>
      <c r="H176" s="1">
        <v>2609</v>
      </c>
      <c r="I176">
        <v>30</v>
      </c>
      <c r="J176" s="1">
        <v>-103</v>
      </c>
      <c r="K176" s="2">
        <v>46107</v>
      </c>
      <c r="L176">
        <v>9</v>
      </c>
    </row>
    <row r="177" spans="1:12" x14ac:dyDescent="0.3">
      <c r="A177" t="s">
        <v>230</v>
      </c>
      <c r="B177" t="s">
        <v>47</v>
      </c>
      <c r="C177" t="s">
        <v>48</v>
      </c>
      <c r="D177" t="s">
        <v>57</v>
      </c>
      <c r="E177" t="s">
        <v>63</v>
      </c>
      <c r="F177" t="s">
        <v>22</v>
      </c>
      <c r="G177" s="1">
        <v>8585</v>
      </c>
      <c r="H177" s="1">
        <v>6317</v>
      </c>
      <c r="I177">
        <v>14</v>
      </c>
      <c r="J177" s="1">
        <v>1066.0999999999999</v>
      </c>
      <c r="K177" s="2">
        <v>46190</v>
      </c>
      <c r="L177">
        <v>5</v>
      </c>
    </row>
    <row r="178" spans="1:12" x14ac:dyDescent="0.3">
      <c r="A178" t="s">
        <v>231</v>
      </c>
      <c r="B178" t="s">
        <v>31</v>
      </c>
      <c r="C178" t="s">
        <v>32</v>
      </c>
      <c r="D178" t="s">
        <v>15</v>
      </c>
      <c r="E178" t="s">
        <v>45</v>
      </c>
      <c r="F178" t="s">
        <v>17</v>
      </c>
      <c r="G178" s="1">
        <v>6243</v>
      </c>
      <c r="H178" s="1">
        <v>5467</v>
      </c>
      <c r="I178">
        <v>9</v>
      </c>
      <c r="J178" s="1">
        <v>214.13</v>
      </c>
      <c r="K178" s="2">
        <v>46053</v>
      </c>
      <c r="L178">
        <v>8</v>
      </c>
    </row>
    <row r="179" spans="1:12" x14ac:dyDescent="0.3">
      <c r="A179" t="s">
        <v>232</v>
      </c>
      <c r="B179" t="s">
        <v>19</v>
      </c>
      <c r="C179" t="s">
        <v>20</v>
      </c>
      <c r="D179" t="s">
        <v>57</v>
      </c>
      <c r="E179" t="s">
        <v>21</v>
      </c>
      <c r="F179" t="s">
        <v>22</v>
      </c>
      <c r="G179" s="1">
        <v>18081</v>
      </c>
      <c r="H179" s="1">
        <v>11298</v>
      </c>
      <c r="I179">
        <v>11</v>
      </c>
      <c r="J179" s="1">
        <v>4794.09</v>
      </c>
      <c r="K179" s="2">
        <v>46131</v>
      </c>
      <c r="L179">
        <v>9</v>
      </c>
    </row>
    <row r="180" spans="1:12" x14ac:dyDescent="0.3">
      <c r="A180" t="s">
        <v>233</v>
      </c>
      <c r="B180" t="s">
        <v>76</v>
      </c>
      <c r="C180" t="s">
        <v>77</v>
      </c>
      <c r="D180" t="s">
        <v>57</v>
      </c>
      <c r="E180" t="s">
        <v>61</v>
      </c>
      <c r="F180" t="s">
        <v>17</v>
      </c>
      <c r="G180" s="1">
        <v>86141</v>
      </c>
      <c r="H180" s="1">
        <v>42601</v>
      </c>
      <c r="I180">
        <v>15</v>
      </c>
      <c r="J180" s="1">
        <v>30618.85</v>
      </c>
      <c r="K180" s="2">
        <v>46128</v>
      </c>
      <c r="L180">
        <v>10</v>
      </c>
    </row>
    <row r="181" spans="1:12" x14ac:dyDescent="0.3">
      <c r="A181" t="s">
        <v>234</v>
      </c>
      <c r="B181" t="s">
        <v>40</v>
      </c>
      <c r="C181" t="s">
        <v>41</v>
      </c>
      <c r="D181" t="s">
        <v>15</v>
      </c>
      <c r="E181" t="s">
        <v>63</v>
      </c>
      <c r="F181" t="s">
        <v>22</v>
      </c>
      <c r="G181" s="1">
        <v>48866</v>
      </c>
      <c r="H181" s="1">
        <v>26767</v>
      </c>
      <c r="I181">
        <v>14</v>
      </c>
      <c r="J181" s="1">
        <v>15257.76</v>
      </c>
      <c r="K181" s="2">
        <v>46242</v>
      </c>
      <c r="L181">
        <v>4</v>
      </c>
    </row>
    <row r="182" spans="1:12" x14ac:dyDescent="0.3">
      <c r="A182" t="s">
        <v>235</v>
      </c>
      <c r="B182" t="s">
        <v>96</v>
      </c>
      <c r="C182" t="s">
        <v>97</v>
      </c>
      <c r="D182" t="s">
        <v>15</v>
      </c>
      <c r="E182" t="s">
        <v>63</v>
      </c>
      <c r="F182" t="s">
        <v>22</v>
      </c>
      <c r="G182" s="1">
        <v>48447</v>
      </c>
      <c r="H182" s="1">
        <v>33671</v>
      </c>
      <c r="I182">
        <v>20</v>
      </c>
      <c r="J182" s="1">
        <v>5086.6000000000004</v>
      </c>
      <c r="K182" s="2">
        <v>46039</v>
      </c>
      <c r="L182">
        <v>6</v>
      </c>
    </row>
    <row r="183" spans="1:12" x14ac:dyDescent="0.3">
      <c r="A183" t="s">
        <v>236</v>
      </c>
      <c r="B183" t="s">
        <v>31</v>
      </c>
      <c r="C183" t="s">
        <v>32</v>
      </c>
      <c r="D183" t="s">
        <v>33</v>
      </c>
      <c r="E183" t="s">
        <v>45</v>
      </c>
      <c r="F183" t="s">
        <v>17</v>
      </c>
      <c r="G183" s="1">
        <v>16311</v>
      </c>
      <c r="H183" s="1">
        <v>14305</v>
      </c>
      <c r="I183">
        <v>26</v>
      </c>
      <c r="J183" s="1">
        <v>-2234.86</v>
      </c>
      <c r="K183" s="2">
        <v>46047</v>
      </c>
      <c r="L183">
        <v>8</v>
      </c>
    </row>
    <row r="184" spans="1:12" x14ac:dyDescent="0.3">
      <c r="A184" t="s">
        <v>237</v>
      </c>
      <c r="B184" t="s">
        <v>13</v>
      </c>
      <c r="C184" t="s">
        <v>14</v>
      </c>
      <c r="D184" t="s">
        <v>57</v>
      </c>
      <c r="E184" t="s">
        <v>63</v>
      </c>
      <c r="F184" t="s">
        <v>22</v>
      </c>
      <c r="G184" s="1">
        <v>84119</v>
      </c>
      <c r="H184" s="1">
        <v>60457</v>
      </c>
      <c r="I184">
        <v>0</v>
      </c>
      <c r="J184" s="1">
        <v>23662</v>
      </c>
      <c r="K184" s="2">
        <v>46225</v>
      </c>
      <c r="L184">
        <v>1</v>
      </c>
    </row>
    <row r="185" spans="1:12" x14ac:dyDescent="0.3">
      <c r="A185" t="s">
        <v>238</v>
      </c>
      <c r="B185" t="s">
        <v>96</v>
      </c>
      <c r="C185" t="s">
        <v>97</v>
      </c>
      <c r="D185" t="s">
        <v>57</v>
      </c>
      <c r="E185" t="s">
        <v>45</v>
      </c>
      <c r="F185" t="s">
        <v>17</v>
      </c>
      <c r="G185" s="1">
        <v>74300</v>
      </c>
      <c r="H185" s="1">
        <v>40296</v>
      </c>
      <c r="I185">
        <v>26</v>
      </c>
      <c r="J185" s="1">
        <v>14686</v>
      </c>
      <c r="K185" s="2">
        <v>46077</v>
      </c>
      <c r="L185">
        <v>9</v>
      </c>
    </row>
    <row r="186" spans="1:12" x14ac:dyDescent="0.3">
      <c r="A186" t="s">
        <v>239</v>
      </c>
      <c r="B186" t="s">
        <v>76</v>
      </c>
      <c r="C186" t="s">
        <v>77</v>
      </c>
      <c r="D186" t="s">
        <v>57</v>
      </c>
      <c r="E186" t="s">
        <v>43</v>
      </c>
      <c r="F186" t="s">
        <v>22</v>
      </c>
      <c r="G186" s="1">
        <v>30839</v>
      </c>
      <c r="H186" s="1">
        <v>18437</v>
      </c>
      <c r="I186">
        <v>4</v>
      </c>
      <c r="J186" s="1">
        <v>11168.44</v>
      </c>
      <c r="K186" s="2">
        <v>46024</v>
      </c>
      <c r="L186">
        <v>10</v>
      </c>
    </row>
    <row r="187" spans="1:12" x14ac:dyDescent="0.3">
      <c r="A187" t="s">
        <v>240</v>
      </c>
      <c r="B187" t="s">
        <v>40</v>
      </c>
      <c r="C187" t="s">
        <v>41</v>
      </c>
      <c r="D187" t="s">
        <v>57</v>
      </c>
      <c r="E187" t="s">
        <v>45</v>
      </c>
      <c r="F187" t="s">
        <v>17</v>
      </c>
      <c r="G187" s="1">
        <v>71107</v>
      </c>
      <c r="H187" s="1">
        <v>40018</v>
      </c>
      <c r="I187">
        <v>5</v>
      </c>
      <c r="J187" s="1">
        <v>27533.65</v>
      </c>
      <c r="K187" s="2">
        <v>46193</v>
      </c>
      <c r="L187">
        <v>2</v>
      </c>
    </row>
    <row r="188" spans="1:12" x14ac:dyDescent="0.3">
      <c r="A188" t="s">
        <v>241</v>
      </c>
      <c r="B188" t="s">
        <v>87</v>
      </c>
      <c r="C188" t="s">
        <v>88</v>
      </c>
      <c r="D188" t="s">
        <v>15</v>
      </c>
      <c r="E188" t="s">
        <v>45</v>
      </c>
      <c r="F188" t="s">
        <v>17</v>
      </c>
      <c r="G188" s="1">
        <v>2247</v>
      </c>
      <c r="H188" s="1">
        <v>1373</v>
      </c>
      <c r="I188">
        <v>25</v>
      </c>
      <c r="J188" s="1">
        <v>312.25</v>
      </c>
      <c r="K188" s="2">
        <v>46174</v>
      </c>
      <c r="L188">
        <v>4</v>
      </c>
    </row>
    <row r="189" spans="1:12" x14ac:dyDescent="0.3">
      <c r="A189" t="s">
        <v>242</v>
      </c>
      <c r="B189" t="s">
        <v>96</v>
      </c>
      <c r="C189" t="s">
        <v>97</v>
      </c>
      <c r="D189" t="s">
        <v>15</v>
      </c>
      <c r="E189" t="s">
        <v>45</v>
      </c>
      <c r="F189" t="s">
        <v>17</v>
      </c>
      <c r="G189" s="1">
        <v>35082</v>
      </c>
      <c r="H189" s="1">
        <v>16614</v>
      </c>
      <c r="I189">
        <v>23</v>
      </c>
      <c r="J189" s="1">
        <v>10399.14</v>
      </c>
      <c r="K189" s="2">
        <v>46158</v>
      </c>
      <c r="L189">
        <v>7</v>
      </c>
    </row>
    <row r="190" spans="1:12" x14ac:dyDescent="0.3">
      <c r="A190" t="s">
        <v>243</v>
      </c>
      <c r="B190" t="s">
        <v>19</v>
      </c>
      <c r="C190" t="s">
        <v>20</v>
      </c>
      <c r="D190" t="s">
        <v>15</v>
      </c>
      <c r="E190" t="s">
        <v>61</v>
      </c>
      <c r="F190" t="s">
        <v>17</v>
      </c>
      <c r="G190" s="1">
        <v>59056</v>
      </c>
      <c r="H190" s="1">
        <v>47251</v>
      </c>
      <c r="I190">
        <v>16</v>
      </c>
      <c r="J190" s="1">
        <v>2356.04</v>
      </c>
      <c r="K190" s="2">
        <v>46051</v>
      </c>
      <c r="L190">
        <v>10</v>
      </c>
    </row>
    <row r="191" spans="1:12" x14ac:dyDescent="0.3">
      <c r="A191" t="s">
        <v>244</v>
      </c>
      <c r="B191" t="s">
        <v>50</v>
      </c>
      <c r="C191" t="s">
        <v>51</v>
      </c>
      <c r="D191" t="s">
        <v>57</v>
      </c>
      <c r="E191" t="s">
        <v>21</v>
      </c>
      <c r="F191" t="s">
        <v>22</v>
      </c>
      <c r="G191" s="1">
        <v>5983</v>
      </c>
      <c r="H191" s="1">
        <v>4650</v>
      </c>
      <c r="I191">
        <v>29</v>
      </c>
      <c r="J191" s="1">
        <v>-402.07</v>
      </c>
      <c r="K191" s="2">
        <v>46101</v>
      </c>
      <c r="L191">
        <v>9</v>
      </c>
    </row>
    <row r="192" spans="1:12" x14ac:dyDescent="0.3">
      <c r="A192" t="s">
        <v>245</v>
      </c>
      <c r="B192" t="s">
        <v>50</v>
      </c>
      <c r="C192" t="s">
        <v>51</v>
      </c>
      <c r="D192" t="s">
        <v>15</v>
      </c>
      <c r="E192" t="s">
        <v>16</v>
      </c>
      <c r="F192" t="s">
        <v>17</v>
      </c>
      <c r="G192" s="1">
        <v>63081</v>
      </c>
      <c r="H192" s="1">
        <v>52438</v>
      </c>
      <c r="I192">
        <v>13</v>
      </c>
      <c r="J192" s="1">
        <v>2442.4699999999998</v>
      </c>
      <c r="K192" s="2">
        <v>46149</v>
      </c>
      <c r="L192">
        <v>2</v>
      </c>
    </row>
    <row r="193" spans="1:12" x14ac:dyDescent="0.3">
      <c r="A193" t="s">
        <v>246</v>
      </c>
      <c r="B193" t="s">
        <v>66</v>
      </c>
      <c r="C193" t="s">
        <v>67</v>
      </c>
      <c r="D193" t="s">
        <v>29</v>
      </c>
      <c r="E193" t="s">
        <v>16</v>
      </c>
      <c r="F193" t="s">
        <v>17</v>
      </c>
      <c r="G193" s="1">
        <v>10889</v>
      </c>
      <c r="H193" s="1">
        <v>6478</v>
      </c>
      <c r="I193">
        <v>4</v>
      </c>
      <c r="J193" s="1">
        <v>3975.44</v>
      </c>
      <c r="K193" s="2">
        <v>46056</v>
      </c>
      <c r="L193">
        <v>2</v>
      </c>
    </row>
    <row r="194" spans="1:12" x14ac:dyDescent="0.3">
      <c r="A194" t="s">
        <v>247</v>
      </c>
      <c r="B194" t="s">
        <v>40</v>
      </c>
      <c r="C194" t="s">
        <v>41</v>
      </c>
      <c r="D194" t="s">
        <v>33</v>
      </c>
      <c r="E194" t="s">
        <v>61</v>
      </c>
      <c r="F194" t="s">
        <v>17</v>
      </c>
      <c r="G194" s="1">
        <v>78601</v>
      </c>
      <c r="H194" s="1">
        <v>54136</v>
      </c>
      <c r="I194">
        <v>14</v>
      </c>
      <c r="J194" s="1">
        <v>13460.86</v>
      </c>
      <c r="K194" s="2">
        <v>46178</v>
      </c>
      <c r="L194">
        <v>9</v>
      </c>
    </row>
    <row r="195" spans="1:12" x14ac:dyDescent="0.3">
      <c r="A195" t="s">
        <v>248</v>
      </c>
      <c r="B195" t="s">
        <v>31</v>
      </c>
      <c r="C195" t="s">
        <v>32</v>
      </c>
      <c r="D195" t="s">
        <v>15</v>
      </c>
      <c r="E195" t="s">
        <v>43</v>
      </c>
      <c r="F195" t="s">
        <v>22</v>
      </c>
      <c r="G195" s="1">
        <v>92283</v>
      </c>
      <c r="H195" s="1">
        <v>46278</v>
      </c>
      <c r="I195">
        <v>20</v>
      </c>
      <c r="J195" s="1">
        <v>27548.400000000001</v>
      </c>
      <c r="K195" s="2">
        <v>46208</v>
      </c>
      <c r="L195">
        <v>9</v>
      </c>
    </row>
    <row r="196" spans="1:12" x14ac:dyDescent="0.3">
      <c r="A196" t="s">
        <v>249</v>
      </c>
      <c r="B196" t="s">
        <v>87</v>
      </c>
      <c r="C196" t="s">
        <v>88</v>
      </c>
      <c r="D196" t="s">
        <v>57</v>
      </c>
      <c r="E196" t="s">
        <v>61</v>
      </c>
      <c r="F196" t="s">
        <v>17</v>
      </c>
      <c r="G196" s="1">
        <v>59486</v>
      </c>
      <c r="H196" s="1">
        <v>50541</v>
      </c>
      <c r="I196">
        <v>13</v>
      </c>
      <c r="J196" s="1">
        <v>1211.82</v>
      </c>
      <c r="K196" s="2">
        <v>46235</v>
      </c>
      <c r="L196">
        <v>6</v>
      </c>
    </row>
    <row r="197" spans="1:12" x14ac:dyDescent="0.3">
      <c r="A197" t="s">
        <v>250</v>
      </c>
      <c r="B197" t="s">
        <v>50</v>
      </c>
      <c r="C197" t="s">
        <v>51</v>
      </c>
      <c r="D197" t="s">
        <v>29</v>
      </c>
      <c r="E197" t="s">
        <v>61</v>
      </c>
      <c r="F197" t="s">
        <v>17</v>
      </c>
      <c r="G197" s="1">
        <v>95931</v>
      </c>
      <c r="H197" s="1">
        <v>47273</v>
      </c>
      <c r="I197">
        <v>13</v>
      </c>
      <c r="J197" s="1">
        <v>36186.97</v>
      </c>
      <c r="K197" s="2">
        <v>46194</v>
      </c>
      <c r="L197">
        <v>6</v>
      </c>
    </row>
    <row r="198" spans="1:12" x14ac:dyDescent="0.3">
      <c r="A198" t="s">
        <v>251</v>
      </c>
      <c r="B198" t="s">
        <v>40</v>
      </c>
      <c r="C198" t="s">
        <v>41</v>
      </c>
      <c r="D198" t="s">
        <v>33</v>
      </c>
      <c r="E198" t="s">
        <v>45</v>
      </c>
      <c r="F198" t="s">
        <v>17</v>
      </c>
      <c r="G198" s="1">
        <v>90323</v>
      </c>
      <c r="H198" s="1">
        <v>78160</v>
      </c>
      <c r="I198">
        <v>2</v>
      </c>
      <c r="J198" s="1">
        <v>10356.540000000001</v>
      </c>
      <c r="K198" s="2">
        <v>46236</v>
      </c>
      <c r="L198">
        <v>2</v>
      </c>
    </row>
    <row r="199" spans="1:12" x14ac:dyDescent="0.3">
      <c r="A199" t="s">
        <v>252</v>
      </c>
      <c r="B199" t="s">
        <v>19</v>
      </c>
      <c r="C199" t="s">
        <v>20</v>
      </c>
      <c r="D199" t="s">
        <v>15</v>
      </c>
      <c r="E199" t="s">
        <v>61</v>
      </c>
      <c r="F199" t="s">
        <v>17</v>
      </c>
      <c r="G199" s="1">
        <v>12956</v>
      </c>
      <c r="H199" s="1">
        <v>10171</v>
      </c>
      <c r="I199">
        <v>11</v>
      </c>
      <c r="J199" s="1">
        <v>1359.84</v>
      </c>
      <c r="K199" s="2">
        <v>46166</v>
      </c>
      <c r="L199">
        <v>3</v>
      </c>
    </row>
    <row r="200" spans="1:12" x14ac:dyDescent="0.3">
      <c r="A200" t="s">
        <v>253</v>
      </c>
      <c r="B200" t="s">
        <v>37</v>
      </c>
      <c r="C200" t="s">
        <v>38</v>
      </c>
      <c r="D200" t="s">
        <v>33</v>
      </c>
      <c r="E200" t="s">
        <v>63</v>
      </c>
      <c r="F200" t="s">
        <v>22</v>
      </c>
      <c r="G200" s="1">
        <v>16321</v>
      </c>
      <c r="H200" s="1">
        <v>10361</v>
      </c>
      <c r="I200">
        <v>27</v>
      </c>
      <c r="J200" s="1">
        <v>1553.33</v>
      </c>
      <c r="K200" s="2">
        <v>46246</v>
      </c>
      <c r="L200">
        <v>7</v>
      </c>
    </row>
    <row r="201" spans="1:12" x14ac:dyDescent="0.3">
      <c r="A201" t="s">
        <v>254</v>
      </c>
      <c r="B201" t="s">
        <v>47</v>
      </c>
      <c r="C201" t="s">
        <v>48</v>
      </c>
      <c r="D201" t="s">
        <v>15</v>
      </c>
      <c r="E201" t="s">
        <v>34</v>
      </c>
      <c r="F201" t="s">
        <v>17</v>
      </c>
      <c r="G201" s="1">
        <v>78996</v>
      </c>
      <c r="H201" s="1">
        <v>46655</v>
      </c>
      <c r="I201">
        <v>3</v>
      </c>
      <c r="J201" s="1">
        <v>29971.119999999999</v>
      </c>
      <c r="K201" s="2">
        <v>46153</v>
      </c>
      <c r="L201">
        <v>10</v>
      </c>
    </row>
    <row r="202" spans="1:12" x14ac:dyDescent="0.3">
      <c r="A202" t="s">
        <v>255</v>
      </c>
      <c r="B202" t="s">
        <v>27</v>
      </c>
      <c r="C202" t="s">
        <v>28</v>
      </c>
      <c r="D202" t="s">
        <v>57</v>
      </c>
      <c r="E202" t="s">
        <v>63</v>
      </c>
      <c r="F202" t="s">
        <v>22</v>
      </c>
      <c r="G202" s="1">
        <v>63501</v>
      </c>
      <c r="H202" s="1">
        <v>34983</v>
      </c>
      <c r="I202">
        <v>3</v>
      </c>
      <c r="J202" s="1">
        <v>26612.97</v>
      </c>
      <c r="K202" s="2">
        <v>46240</v>
      </c>
      <c r="L202">
        <v>6</v>
      </c>
    </row>
    <row r="203" spans="1:12" x14ac:dyDescent="0.3">
      <c r="A203" t="s">
        <v>256</v>
      </c>
      <c r="B203" t="s">
        <v>24</v>
      </c>
      <c r="C203" t="s">
        <v>25</v>
      </c>
      <c r="D203" t="s">
        <v>33</v>
      </c>
      <c r="E203" t="s">
        <v>16</v>
      </c>
      <c r="F203" t="s">
        <v>17</v>
      </c>
      <c r="G203" s="1">
        <v>36812</v>
      </c>
      <c r="H203" s="1">
        <v>26075</v>
      </c>
      <c r="I203">
        <v>25</v>
      </c>
      <c r="J203" s="1">
        <v>1534</v>
      </c>
      <c r="K203" s="2">
        <v>46240</v>
      </c>
      <c r="L203">
        <v>7</v>
      </c>
    </row>
    <row r="204" spans="1:12" x14ac:dyDescent="0.3">
      <c r="A204" t="s">
        <v>257</v>
      </c>
      <c r="B204" t="s">
        <v>24</v>
      </c>
      <c r="C204" t="s">
        <v>25</v>
      </c>
      <c r="D204" t="s">
        <v>15</v>
      </c>
      <c r="E204" t="s">
        <v>21</v>
      </c>
      <c r="F204" t="s">
        <v>22</v>
      </c>
      <c r="G204" s="1">
        <v>86523</v>
      </c>
      <c r="H204" s="1">
        <v>71230</v>
      </c>
      <c r="I204">
        <v>8</v>
      </c>
      <c r="J204" s="1">
        <v>8371.16</v>
      </c>
      <c r="K204" s="2">
        <v>46070</v>
      </c>
      <c r="L204">
        <v>1</v>
      </c>
    </row>
    <row r="205" spans="1:12" x14ac:dyDescent="0.3">
      <c r="A205" t="s">
        <v>258</v>
      </c>
      <c r="B205" t="s">
        <v>40</v>
      </c>
      <c r="C205" t="s">
        <v>41</v>
      </c>
      <c r="D205" t="s">
        <v>33</v>
      </c>
      <c r="E205" t="s">
        <v>34</v>
      </c>
      <c r="F205" t="s">
        <v>17</v>
      </c>
      <c r="G205" s="1">
        <v>46309</v>
      </c>
      <c r="H205" s="1">
        <v>20966</v>
      </c>
      <c r="I205">
        <v>27</v>
      </c>
      <c r="J205" s="1">
        <v>12839.57</v>
      </c>
      <c r="K205" s="2">
        <v>46168</v>
      </c>
      <c r="L205">
        <v>3</v>
      </c>
    </row>
    <row r="206" spans="1:12" x14ac:dyDescent="0.3">
      <c r="A206" t="s">
        <v>259</v>
      </c>
      <c r="B206" t="s">
        <v>13</v>
      </c>
      <c r="C206" t="s">
        <v>14</v>
      </c>
      <c r="D206" t="s">
        <v>29</v>
      </c>
      <c r="E206" t="s">
        <v>16</v>
      </c>
      <c r="F206" t="s">
        <v>17</v>
      </c>
      <c r="G206" s="1">
        <v>18895</v>
      </c>
      <c r="H206" s="1">
        <v>14803</v>
      </c>
      <c r="I206">
        <v>0</v>
      </c>
      <c r="J206" s="1">
        <v>4092</v>
      </c>
      <c r="K206" s="2">
        <v>46215</v>
      </c>
      <c r="L206">
        <v>2</v>
      </c>
    </row>
    <row r="207" spans="1:12" x14ac:dyDescent="0.3">
      <c r="A207" t="s">
        <v>260</v>
      </c>
      <c r="B207" t="s">
        <v>24</v>
      </c>
      <c r="C207" t="s">
        <v>25</v>
      </c>
      <c r="D207" t="s">
        <v>57</v>
      </c>
      <c r="E207" t="s">
        <v>61</v>
      </c>
      <c r="F207" t="s">
        <v>17</v>
      </c>
      <c r="G207" s="1">
        <v>55328</v>
      </c>
      <c r="H207" s="1">
        <v>36192</v>
      </c>
      <c r="I207">
        <v>5</v>
      </c>
      <c r="J207" s="1">
        <v>16369.6</v>
      </c>
      <c r="K207" s="2">
        <v>46103</v>
      </c>
      <c r="L207">
        <v>6</v>
      </c>
    </row>
    <row r="208" spans="1:12" x14ac:dyDescent="0.3">
      <c r="A208" t="s">
        <v>261</v>
      </c>
      <c r="B208" t="s">
        <v>66</v>
      </c>
      <c r="C208" t="s">
        <v>67</v>
      </c>
      <c r="D208" t="s">
        <v>33</v>
      </c>
      <c r="E208" t="s">
        <v>43</v>
      </c>
      <c r="F208" t="s">
        <v>22</v>
      </c>
      <c r="G208" s="1">
        <v>74695</v>
      </c>
      <c r="H208" s="1">
        <v>53653</v>
      </c>
      <c r="I208">
        <v>28</v>
      </c>
      <c r="J208" s="1">
        <v>127.4</v>
      </c>
      <c r="K208" s="2">
        <v>46063</v>
      </c>
      <c r="L208">
        <v>1</v>
      </c>
    </row>
    <row r="209" spans="1:12" x14ac:dyDescent="0.3">
      <c r="A209" t="s">
        <v>262</v>
      </c>
      <c r="B209" t="s">
        <v>99</v>
      </c>
      <c r="C209" t="s">
        <v>100</v>
      </c>
      <c r="D209" t="s">
        <v>15</v>
      </c>
      <c r="E209" t="s">
        <v>63</v>
      </c>
      <c r="F209" t="s">
        <v>22</v>
      </c>
      <c r="G209" s="1">
        <v>10993</v>
      </c>
      <c r="H209" s="1">
        <v>6292</v>
      </c>
      <c r="I209">
        <v>21</v>
      </c>
      <c r="J209" s="1">
        <v>2392.4699999999998</v>
      </c>
      <c r="K209" s="2">
        <v>46148</v>
      </c>
      <c r="L209">
        <v>7</v>
      </c>
    </row>
    <row r="210" spans="1:12" x14ac:dyDescent="0.3">
      <c r="A210" t="s">
        <v>263</v>
      </c>
      <c r="B210" t="s">
        <v>76</v>
      </c>
      <c r="C210" t="s">
        <v>77</v>
      </c>
      <c r="D210" t="s">
        <v>29</v>
      </c>
      <c r="E210" t="s">
        <v>61</v>
      </c>
      <c r="F210" t="s">
        <v>17</v>
      </c>
      <c r="G210" s="1">
        <v>36104</v>
      </c>
      <c r="H210" s="1">
        <v>19749</v>
      </c>
      <c r="I210">
        <v>16</v>
      </c>
      <c r="J210" s="1">
        <v>10578.36</v>
      </c>
      <c r="K210" s="2">
        <v>46112</v>
      </c>
      <c r="L210">
        <v>2</v>
      </c>
    </row>
    <row r="211" spans="1:12" x14ac:dyDescent="0.3">
      <c r="A211" t="s">
        <v>264</v>
      </c>
      <c r="B211" t="s">
        <v>31</v>
      </c>
      <c r="C211" t="s">
        <v>32</v>
      </c>
      <c r="D211" t="s">
        <v>15</v>
      </c>
      <c r="E211" t="s">
        <v>34</v>
      </c>
      <c r="F211" t="s">
        <v>17</v>
      </c>
      <c r="G211" s="1">
        <v>89195</v>
      </c>
      <c r="H211" s="1">
        <v>67370</v>
      </c>
      <c r="I211">
        <v>15</v>
      </c>
      <c r="J211" s="1">
        <v>8445.75</v>
      </c>
      <c r="K211" s="2">
        <v>46194</v>
      </c>
      <c r="L211">
        <v>9</v>
      </c>
    </row>
    <row r="212" spans="1:12" x14ac:dyDescent="0.3">
      <c r="A212" t="s">
        <v>265</v>
      </c>
      <c r="B212" t="s">
        <v>40</v>
      </c>
      <c r="C212" t="s">
        <v>41</v>
      </c>
      <c r="D212" t="s">
        <v>15</v>
      </c>
      <c r="E212" t="s">
        <v>45</v>
      </c>
      <c r="F212" t="s">
        <v>17</v>
      </c>
      <c r="G212" s="1">
        <v>52107</v>
      </c>
      <c r="H212" s="1">
        <v>46531</v>
      </c>
      <c r="I212">
        <v>1</v>
      </c>
      <c r="J212" s="1">
        <v>5054.93</v>
      </c>
      <c r="K212" s="2">
        <v>46076</v>
      </c>
      <c r="L212">
        <v>1</v>
      </c>
    </row>
    <row r="213" spans="1:12" x14ac:dyDescent="0.3">
      <c r="A213" t="s">
        <v>266</v>
      </c>
      <c r="B213" t="s">
        <v>40</v>
      </c>
      <c r="C213" t="s">
        <v>41</v>
      </c>
      <c r="D213" t="s">
        <v>57</v>
      </c>
      <c r="E213" t="s">
        <v>43</v>
      </c>
      <c r="F213" t="s">
        <v>22</v>
      </c>
      <c r="G213" s="1">
        <v>18287</v>
      </c>
      <c r="H213" s="1">
        <v>14517</v>
      </c>
      <c r="I213">
        <v>9</v>
      </c>
      <c r="J213" s="1">
        <v>2124.17</v>
      </c>
      <c r="K213" s="2">
        <v>46054</v>
      </c>
      <c r="L213">
        <v>6</v>
      </c>
    </row>
    <row r="214" spans="1:12" x14ac:dyDescent="0.3">
      <c r="A214" t="s">
        <v>267</v>
      </c>
      <c r="B214" t="s">
        <v>37</v>
      </c>
      <c r="C214" t="s">
        <v>38</v>
      </c>
      <c r="D214" t="s">
        <v>29</v>
      </c>
      <c r="E214" t="s">
        <v>63</v>
      </c>
      <c r="F214" t="s">
        <v>22</v>
      </c>
      <c r="G214" s="1">
        <v>56746</v>
      </c>
      <c r="H214" s="1">
        <v>30022</v>
      </c>
      <c r="I214">
        <v>12</v>
      </c>
      <c r="J214" s="1">
        <v>19914.48</v>
      </c>
      <c r="K214" s="2">
        <v>46204</v>
      </c>
      <c r="L214">
        <v>9</v>
      </c>
    </row>
    <row r="215" spans="1:12" x14ac:dyDescent="0.3">
      <c r="A215" t="s">
        <v>268</v>
      </c>
      <c r="B215" t="s">
        <v>27</v>
      </c>
      <c r="C215" t="s">
        <v>28</v>
      </c>
      <c r="D215" t="s">
        <v>33</v>
      </c>
      <c r="E215" t="s">
        <v>16</v>
      </c>
      <c r="F215" t="s">
        <v>17</v>
      </c>
      <c r="G215" s="1">
        <v>52344</v>
      </c>
      <c r="H215" s="1">
        <v>43853</v>
      </c>
      <c r="I215">
        <v>1</v>
      </c>
      <c r="J215" s="1">
        <v>7967.56</v>
      </c>
      <c r="K215" s="2">
        <v>46028</v>
      </c>
      <c r="L215">
        <v>7</v>
      </c>
    </row>
    <row r="216" spans="1:12" x14ac:dyDescent="0.3">
      <c r="A216" t="s">
        <v>269</v>
      </c>
      <c r="B216" t="s">
        <v>50</v>
      </c>
      <c r="C216" t="s">
        <v>51</v>
      </c>
      <c r="D216" t="s">
        <v>15</v>
      </c>
      <c r="E216" t="s">
        <v>43</v>
      </c>
      <c r="F216" t="s">
        <v>22</v>
      </c>
      <c r="G216" s="1">
        <v>41333</v>
      </c>
      <c r="H216" s="1">
        <v>29308</v>
      </c>
      <c r="I216">
        <v>18</v>
      </c>
      <c r="J216" s="1">
        <v>4585.0600000000004</v>
      </c>
      <c r="K216" s="2">
        <v>46205</v>
      </c>
      <c r="L216">
        <v>7</v>
      </c>
    </row>
    <row r="217" spans="1:12" x14ac:dyDescent="0.3">
      <c r="A217" t="s">
        <v>270</v>
      </c>
      <c r="B217" t="s">
        <v>13</v>
      </c>
      <c r="C217" t="s">
        <v>14</v>
      </c>
      <c r="D217" t="s">
        <v>29</v>
      </c>
      <c r="E217" t="s">
        <v>34</v>
      </c>
      <c r="F217" t="s">
        <v>17</v>
      </c>
      <c r="G217" s="1">
        <v>15396</v>
      </c>
      <c r="H217" s="1">
        <v>9734</v>
      </c>
      <c r="I217">
        <v>30</v>
      </c>
      <c r="J217" s="1">
        <v>1043.2</v>
      </c>
      <c r="K217" s="2">
        <v>46067</v>
      </c>
      <c r="L217">
        <v>6</v>
      </c>
    </row>
    <row r="218" spans="1:12" x14ac:dyDescent="0.3">
      <c r="A218" t="s">
        <v>271</v>
      </c>
      <c r="B218" t="s">
        <v>53</v>
      </c>
      <c r="C218" t="s">
        <v>54</v>
      </c>
      <c r="D218" t="s">
        <v>29</v>
      </c>
      <c r="E218" t="s">
        <v>43</v>
      </c>
      <c r="F218" t="s">
        <v>22</v>
      </c>
      <c r="G218" s="1">
        <v>90688</v>
      </c>
      <c r="H218" s="1">
        <v>78345</v>
      </c>
      <c r="I218">
        <v>2</v>
      </c>
      <c r="J218" s="1">
        <v>10529.24</v>
      </c>
      <c r="K218" s="2">
        <v>46240</v>
      </c>
      <c r="L218">
        <v>7</v>
      </c>
    </row>
    <row r="219" spans="1:12" x14ac:dyDescent="0.3">
      <c r="A219" t="s">
        <v>272</v>
      </c>
      <c r="B219" t="s">
        <v>19</v>
      </c>
      <c r="C219" t="s">
        <v>20</v>
      </c>
      <c r="D219" t="s">
        <v>57</v>
      </c>
      <c r="E219" t="s">
        <v>61</v>
      </c>
      <c r="F219" t="s">
        <v>17</v>
      </c>
      <c r="G219" s="1">
        <v>77484</v>
      </c>
      <c r="H219" s="1">
        <v>48830</v>
      </c>
      <c r="I219">
        <v>2</v>
      </c>
      <c r="J219" s="1">
        <v>27104.32</v>
      </c>
      <c r="K219" s="2">
        <v>46246</v>
      </c>
      <c r="L219">
        <v>7</v>
      </c>
    </row>
    <row r="220" spans="1:12" x14ac:dyDescent="0.3">
      <c r="A220" t="s">
        <v>273</v>
      </c>
      <c r="B220" t="s">
        <v>40</v>
      </c>
      <c r="C220" t="s">
        <v>41</v>
      </c>
      <c r="D220" t="s">
        <v>33</v>
      </c>
      <c r="E220" t="s">
        <v>45</v>
      </c>
      <c r="F220" t="s">
        <v>17</v>
      </c>
      <c r="G220" s="1">
        <v>43955</v>
      </c>
      <c r="H220" s="1">
        <v>35190</v>
      </c>
      <c r="I220">
        <v>2</v>
      </c>
      <c r="J220" s="1">
        <v>7885.9</v>
      </c>
      <c r="K220" s="2">
        <v>46186</v>
      </c>
      <c r="L220">
        <v>9</v>
      </c>
    </row>
    <row r="221" spans="1:12" x14ac:dyDescent="0.3">
      <c r="A221" t="s">
        <v>274</v>
      </c>
      <c r="B221" t="s">
        <v>19</v>
      </c>
      <c r="C221" t="s">
        <v>20</v>
      </c>
      <c r="D221" t="s">
        <v>57</v>
      </c>
      <c r="E221" t="s">
        <v>43</v>
      </c>
      <c r="F221" t="s">
        <v>22</v>
      </c>
      <c r="G221" s="1">
        <v>46093</v>
      </c>
      <c r="H221" s="1">
        <v>28024</v>
      </c>
      <c r="I221">
        <v>30</v>
      </c>
      <c r="J221" s="1">
        <v>4241.1000000000004</v>
      </c>
      <c r="K221" s="2">
        <v>46084</v>
      </c>
      <c r="L221">
        <v>3</v>
      </c>
    </row>
    <row r="222" spans="1:12" x14ac:dyDescent="0.3">
      <c r="A222" t="s">
        <v>275</v>
      </c>
      <c r="B222" t="s">
        <v>19</v>
      </c>
      <c r="C222" t="s">
        <v>20</v>
      </c>
      <c r="D222" t="s">
        <v>57</v>
      </c>
      <c r="E222" t="s">
        <v>34</v>
      </c>
      <c r="F222" t="s">
        <v>17</v>
      </c>
      <c r="G222" s="1">
        <v>26156</v>
      </c>
      <c r="H222" s="1">
        <v>13812</v>
      </c>
      <c r="I222">
        <v>4</v>
      </c>
      <c r="J222" s="1">
        <v>11297.76</v>
      </c>
      <c r="K222" s="2">
        <v>46069</v>
      </c>
      <c r="L222">
        <v>2</v>
      </c>
    </row>
    <row r="223" spans="1:12" x14ac:dyDescent="0.3">
      <c r="A223" t="s">
        <v>276</v>
      </c>
      <c r="B223" t="s">
        <v>53</v>
      </c>
      <c r="C223" t="s">
        <v>54</v>
      </c>
      <c r="D223" t="s">
        <v>29</v>
      </c>
      <c r="E223" t="s">
        <v>61</v>
      </c>
      <c r="F223" t="s">
        <v>17</v>
      </c>
      <c r="G223" s="1">
        <v>99186</v>
      </c>
      <c r="H223" s="1">
        <v>69795</v>
      </c>
      <c r="I223">
        <v>18</v>
      </c>
      <c r="J223" s="1">
        <v>11537.52</v>
      </c>
      <c r="K223" s="2">
        <v>46198</v>
      </c>
      <c r="L223">
        <v>8</v>
      </c>
    </row>
    <row r="224" spans="1:12" x14ac:dyDescent="0.3">
      <c r="A224" t="s">
        <v>277</v>
      </c>
      <c r="B224" t="s">
        <v>47</v>
      </c>
      <c r="C224" t="s">
        <v>48</v>
      </c>
      <c r="D224" t="s">
        <v>33</v>
      </c>
      <c r="E224" t="s">
        <v>43</v>
      </c>
      <c r="F224" t="s">
        <v>22</v>
      </c>
      <c r="G224" s="1">
        <v>82510</v>
      </c>
      <c r="H224" s="1">
        <v>48867</v>
      </c>
      <c r="I224">
        <v>14</v>
      </c>
      <c r="J224" s="1">
        <v>22091.599999999999</v>
      </c>
      <c r="K224" s="2">
        <v>46144</v>
      </c>
      <c r="L224">
        <v>2</v>
      </c>
    </row>
    <row r="225" spans="1:12" x14ac:dyDescent="0.3">
      <c r="A225" t="s">
        <v>278</v>
      </c>
      <c r="B225" t="s">
        <v>50</v>
      </c>
      <c r="C225" t="s">
        <v>51</v>
      </c>
      <c r="D225" t="s">
        <v>33</v>
      </c>
      <c r="E225" t="s">
        <v>43</v>
      </c>
      <c r="F225" t="s">
        <v>22</v>
      </c>
      <c r="G225" s="1">
        <v>36302</v>
      </c>
      <c r="H225" s="1">
        <v>25997</v>
      </c>
      <c r="I225">
        <v>11</v>
      </c>
      <c r="J225" s="1">
        <v>6311.78</v>
      </c>
      <c r="K225" s="2">
        <v>46042</v>
      </c>
      <c r="L225">
        <v>9</v>
      </c>
    </row>
    <row r="226" spans="1:12" x14ac:dyDescent="0.3">
      <c r="A226" t="s">
        <v>279</v>
      </c>
      <c r="B226" t="s">
        <v>40</v>
      </c>
      <c r="C226" t="s">
        <v>41</v>
      </c>
      <c r="D226" t="s">
        <v>29</v>
      </c>
      <c r="E226" t="s">
        <v>61</v>
      </c>
      <c r="F226" t="s">
        <v>17</v>
      </c>
      <c r="G226" s="1">
        <v>5229</v>
      </c>
      <c r="H226" s="1">
        <v>2486</v>
      </c>
      <c r="I226">
        <v>26</v>
      </c>
      <c r="J226" s="1">
        <v>1383.46</v>
      </c>
      <c r="K226" s="2">
        <v>46043</v>
      </c>
      <c r="L226">
        <v>5</v>
      </c>
    </row>
    <row r="227" spans="1:12" x14ac:dyDescent="0.3">
      <c r="A227" t="s">
        <v>280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 s="1">
        <v>78167</v>
      </c>
      <c r="H227" s="1">
        <v>53011</v>
      </c>
      <c r="I227">
        <v>14</v>
      </c>
      <c r="J227" s="1">
        <v>14212.62</v>
      </c>
      <c r="K227" s="2">
        <v>46165</v>
      </c>
      <c r="L227">
        <v>10</v>
      </c>
    </row>
    <row r="228" spans="1:12" x14ac:dyDescent="0.3">
      <c r="A228" t="s">
        <v>281</v>
      </c>
      <c r="B228" t="s">
        <v>53</v>
      </c>
      <c r="C228" t="s">
        <v>54</v>
      </c>
      <c r="D228" t="s">
        <v>15</v>
      </c>
      <c r="E228" t="s">
        <v>61</v>
      </c>
      <c r="F228" t="s">
        <v>17</v>
      </c>
      <c r="G228" s="1">
        <v>75228</v>
      </c>
      <c r="H228" s="1">
        <v>55918</v>
      </c>
      <c r="I228">
        <v>10</v>
      </c>
      <c r="J228" s="1">
        <v>11787.2</v>
      </c>
      <c r="K228" s="2">
        <v>46145</v>
      </c>
      <c r="L228">
        <v>10</v>
      </c>
    </row>
    <row r="229" spans="1:12" x14ac:dyDescent="0.3">
      <c r="A229" t="s">
        <v>282</v>
      </c>
      <c r="B229" t="s">
        <v>24</v>
      </c>
      <c r="C229" t="s">
        <v>25</v>
      </c>
      <c r="D229" t="s">
        <v>57</v>
      </c>
      <c r="E229" t="s">
        <v>16</v>
      </c>
      <c r="F229" t="s">
        <v>17</v>
      </c>
      <c r="G229" s="1">
        <v>59350</v>
      </c>
      <c r="H229" s="1">
        <v>29471</v>
      </c>
      <c r="I229">
        <v>28</v>
      </c>
      <c r="J229" s="1">
        <v>13261</v>
      </c>
      <c r="K229" s="2">
        <v>46206</v>
      </c>
      <c r="L229">
        <v>6</v>
      </c>
    </row>
    <row r="230" spans="1:12" x14ac:dyDescent="0.3">
      <c r="A230" t="s">
        <v>283</v>
      </c>
      <c r="B230" t="s">
        <v>19</v>
      </c>
      <c r="C230" t="s">
        <v>20</v>
      </c>
      <c r="D230" t="s">
        <v>57</v>
      </c>
      <c r="E230" t="s">
        <v>16</v>
      </c>
      <c r="F230" t="s">
        <v>17</v>
      </c>
      <c r="G230" s="1">
        <v>32772</v>
      </c>
      <c r="H230" s="1">
        <v>25182</v>
      </c>
      <c r="I230">
        <v>14</v>
      </c>
      <c r="J230" s="1">
        <v>3001.92</v>
      </c>
      <c r="K230" s="2">
        <v>46157</v>
      </c>
      <c r="L230">
        <v>9</v>
      </c>
    </row>
    <row r="231" spans="1:12" x14ac:dyDescent="0.3">
      <c r="A231" t="s">
        <v>284</v>
      </c>
      <c r="B231" t="s">
        <v>76</v>
      </c>
      <c r="C231" t="s">
        <v>77</v>
      </c>
      <c r="D231" t="s">
        <v>57</v>
      </c>
      <c r="E231" t="s">
        <v>34</v>
      </c>
      <c r="F231" t="s">
        <v>17</v>
      </c>
      <c r="G231" s="1">
        <v>49170</v>
      </c>
      <c r="H231" s="1">
        <v>42437</v>
      </c>
      <c r="I231">
        <v>12</v>
      </c>
      <c r="J231" s="1">
        <v>832.6</v>
      </c>
      <c r="K231" s="2">
        <v>46222</v>
      </c>
      <c r="L231">
        <v>7</v>
      </c>
    </row>
    <row r="232" spans="1:12" x14ac:dyDescent="0.3">
      <c r="A232" t="s">
        <v>285</v>
      </c>
      <c r="B232" t="s">
        <v>96</v>
      </c>
      <c r="C232" t="s">
        <v>97</v>
      </c>
      <c r="D232" t="s">
        <v>15</v>
      </c>
      <c r="E232" t="s">
        <v>43</v>
      </c>
      <c r="F232" t="s">
        <v>22</v>
      </c>
      <c r="G232" s="1">
        <v>82991</v>
      </c>
      <c r="H232" s="1">
        <v>61520</v>
      </c>
      <c r="I232">
        <v>2</v>
      </c>
      <c r="J232" s="1">
        <v>19811.18</v>
      </c>
      <c r="K232" s="2">
        <v>46048</v>
      </c>
      <c r="L232">
        <v>6</v>
      </c>
    </row>
    <row r="233" spans="1:12" x14ac:dyDescent="0.3">
      <c r="A233" t="s">
        <v>286</v>
      </c>
      <c r="B233" t="s">
        <v>24</v>
      </c>
      <c r="C233" t="s">
        <v>25</v>
      </c>
      <c r="D233" t="s">
        <v>29</v>
      </c>
      <c r="E233" t="s">
        <v>34</v>
      </c>
      <c r="F233" t="s">
        <v>17</v>
      </c>
      <c r="G233" s="1">
        <v>33329</v>
      </c>
      <c r="H233" s="1">
        <v>25852</v>
      </c>
      <c r="I233">
        <v>21</v>
      </c>
      <c r="J233" s="1">
        <v>477.91</v>
      </c>
      <c r="K233" s="2">
        <v>46247</v>
      </c>
      <c r="L233">
        <v>10</v>
      </c>
    </row>
    <row r="234" spans="1:12" x14ac:dyDescent="0.3">
      <c r="A234" t="s">
        <v>287</v>
      </c>
      <c r="B234" t="s">
        <v>99</v>
      </c>
      <c r="C234" t="s">
        <v>100</v>
      </c>
      <c r="D234" t="s">
        <v>33</v>
      </c>
      <c r="E234" t="s">
        <v>16</v>
      </c>
      <c r="F234" t="s">
        <v>17</v>
      </c>
      <c r="G234" s="1">
        <v>76680</v>
      </c>
      <c r="H234" s="1">
        <v>57404</v>
      </c>
      <c r="I234">
        <v>29</v>
      </c>
      <c r="J234" s="1">
        <v>-2961.2</v>
      </c>
      <c r="K234" s="2">
        <v>46103</v>
      </c>
      <c r="L234">
        <v>6</v>
      </c>
    </row>
    <row r="235" spans="1:12" x14ac:dyDescent="0.3">
      <c r="A235" t="s">
        <v>288</v>
      </c>
      <c r="B235" t="s">
        <v>13</v>
      </c>
      <c r="C235" t="s">
        <v>14</v>
      </c>
      <c r="D235" t="s">
        <v>29</v>
      </c>
      <c r="E235" t="s">
        <v>45</v>
      </c>
      <c r="F235" t="s">
        <v>17</v>
      </c>
      <c r="G235" s="1">
        <v>78293</v>
      </c>
      <c r="H235" s="1">
        <v>60205</v>
      </c>
      <c r="I235">
        <v>2</v>
      </c>
      <c r="J235" s="1">
        <v>16522.14</v>
      </c>
      <c r="K235" s="2">
        <v>46167</v>
      </c>
      <c r="L235">
        <v>5</v>
      </c>
    </row>
    <row r="236" spans="1:12" x14ac:dyDescent="0.3">
      <c r="A236" t="s">
        <v>289</v>
      </c>
      <c r="B236" t="s">
        <v>31</v>
      </c>
      <c r="C236" t="s">
        <v>32</v>
      </c>
      <c r="D236" t="s">
        <v>33</v>
      </c>
      <c r="E236" t="s">
        <v>43</v>
      </c>
      <c r="F236" t="s">
        <v>22</v>
      </c>
      <c r="G236" s="1">
        <v>17050</v>
      </c>
      <c r="H236" s="1">
        <v>12813</v>
      </c>
      <c r="I236">
        <v>26</v>
      </c>
      <c r="J236" s="1">
        <v>-196</v>
      </c>
      <c r="K236" s="2">
        <v>46047</v>
      </c>
      <c r="L236">
        <v>9</v>
      </c>
    </row>
    <row r="237" spans="1:12" x14ac:dyDescent="0.3">
      <c r="A237" t="s">
        <v>290</v>
      </c>
      <c r="B237" t="s">
        <v>13</v>
      </c>
      <c r="C237" t="s">
        <v>14</v>
      </c>
      <c r="D237" t="s">
        <v>29</v>
      </c>
      <c r="E237" t="s">
        <v>21</v>
      </c>
      <c r="F237" t="s">
        <v>22</v>
      </c>
      <c r="G237" s="1">
        <v>47725</v>
      </c>
      <c r="H237" s="1">
        <v>21867</v>
      </c>
      <c r="I237">
        <v>9</v>
      </c>
      <c r="J237" s="1">
        <v>21562.75</v>
      </c>
      <c r="K237" s="2">
        <v>46267</v>
      </c>
      <c r="L237">
        <v>3</v>
      </c>
    </row>
    <row r="238" spans="1:12" x14ac:dyDescent="0.3">
      <c r="A238" t="s">
        <v>291</v>
      </c>
      <c r="B238" t="s">
        <v>27</v>
      </c>
      <c r="C238" t="s">
        <v>28</v>
      </c>
      <c r="D238" t="s">
        <v>33</v>
      </c>
      <c r="E238" t="s">
        <v>43</v>
      </c>
      <c r="F238" t="s">
        <v>22</v>
      </c>
      <c r="G238" s="1">
        <v>64036</v>
      </c>
      <c r="H238" s="1">
        <v>34349</v>
      </c>
      <c r="I238">
        <v>4</v>
      </c>
      <c r="J238" s="1">
        <v>27125.56</v>
      </c>
      <c r="K238" s="2">
        <v>46043</v>
      </c>
      <c r="L238">
        <v>3</v>
      </c>
    </row>
    <row r="239" spans="1:12" x14ac:dyDescent="0.3">
      <c r="A239" t="s">
        <v>292</v>
      </c>
      <c r="B239" t="s">
        <v>40</v>
      </c>
      <c r="C239" t="s">
        <v>41</v>
      </c>
      <c r="D239" t="s">
        <v>15</v>
      </c>
      <c r="E239" t="s">
        <v>21</v>
      </c>
      <c r="F239" t="s">
        <v>22</v>
      </c>
      <c r="G239" s="1">
        <v>71048</v>
      </c>
      <c r="H239" s="1">
        <v>58671</v>
      </c>
      <c r="I239">
        <v>28</v>
      </c>
      <c r="J239" s="1">
        <v>-7516.44</v>
      </c>
      <c r="K239" s="2">
        <v>46033</v>
      </c>
      <c r="L239">
        <v>9</v>
      </c>
    </row>
    <row r="240" spans="1:12" x14ac:dyDescent="0.3">
      <c r="A240" t="s">
        <v>293</v>
      </c>
      <c r="B240" t="s">
        <v>13</v>
      </c>
      <c r="C240" t="s">
        <v>14</v>
      </c>
      <c r="D240" t="s">
        <v>33</v>
      </c>
      <c r="E240" t="s">
        <v>43</v>
      </c>
      <c r="F240" t="s">
        <v>22</v>
      </c>
      <c r="G240" s="1">
        <v>81306</v>
      </c>
      <c r="H240" s="1">
        <v>41382</v>
      </c>
      <c r="I240">
        <v>12</v>
      </c>
      <c r="J240" s="1">
        <v>30167.279999999999</v>
      </c>
      <c r="K240" s="2">
        <v>46065</v>
      </c>
      <c r="L240">
        <v>3</v>
      </c>
    </row>
    <row r="241" spans="1:12" x14ac:dyDescent="0.3">
      <c r="A241" t="s">
        <v>294</v>
      </c>
      <c r="B241" t="s">
        <v>99</v>
      </c>
      <c r="C241" t="s">
        <v>100</v>
      </c>
      <c r="D241" t="s">
        <v>57</v>
      </c>
      <c r="E241" t="s">
        <v>63</v>
      </c>
      <c r="F241" t="s">
        <v>22</v>
      </c>
      <c r="G241" s="1">
        <v>57666</v>
      </c>
      <c r="H241" s="1">
        <v>27083</v>
      </c>
      <c r="I241">
        <v>11</v>
      </c>
      <c r="J241" s="1">
        <v>24239.74</v>
      </c>
      <c r="K241" s="2">
        <v>46272</v>
      </c>
      <c r="L241">
        <v>4</v>
      </c>
    </row>
    <row r="242" spans="1:12" x14ac:dyDescent="0.3">
      <c r="A242" t="s">
        <v>295</v>
      </c>
      <c r="B242" t="s">
        <v>50</v>
      </c>
      <c r="C242" t="s">
        <v>51</v>
      </c>
      <c r="D242" t="s">
        <v>33</v>
      </c>
      <c r="E242" t="s">
        <v>43</v>
      </c>
      <c r="F242" t="s">
        <v>22</v>
      </c>
      <c r="G242" s="1">
        <v>98412</v>
      </c>
      <c r="H242" s="1">
        <v>78996</v>
      </c>
      <c r="I242">
        <v>7</v>
      </c>
      <c r="J242" s="1">
        <v>12527.16</v>
      </c>
      <c r="K242" s="2">
        <v>46085</v>
      </c>
      <c r="L242">
        <v>9</v>
      </c>
    </row>
    <row r="243" spans="1:12" x14ac:dyDescent="0.3">
      <c r="A243" t="s">
        <v>296</v>
      </c>
      <c r="B243" t="s">
        <v>40</v>
      </c>
      <c r="C243" t="s">
        <v>41</v>
      </c>
      <c r="D243" t="s">
        <v>29</v>
      </c>
      <c r="E243" t="s">
        <v>43</v>
      </c>
      <c r="F243" t="s">
        <v>22</v>
      </c>
      <c r="G243" s="1">
        <v>25730</v>
      </c>
      <c r="H243" s="1">
        <v>15837</v>
      </c>
      <c r="I243">
        <v>30</v>
      </c>
      <c r="J243" s="1">
        <v>2174</v>
      </c>
      <c r="K243" s="2">
        <v>46136</v>
      </c>
      <c r="L243">
        <v>10</v>
      </c>
    </row>
    <row r="244" spans="1:12" x14ac:dyDescent="0.3">
      <c r="A244" t="s">
        <v>297</v>
      </c>
      <c r="B244" t="s">
        <v>50</v>
      </c>
      <c r="C244" t="s">
        <v>51</v>
      </c>
      <c r="D244" t="s">
        <v>33</v>
      </c>
      <c r="E244" t="s">
        <v>43</v>
      </c>
      <c r="F244" t="s">
        <v>22</v>
      </c>
      <c r="G244" s="1">
        <v>50352</v>
      </c>
      <c r="H244" s="1">
        <v>34053</v>
      </c>
      <c r="I244">
        <v>13</v>
      </c>
      <c r="J244" s="1">
        <v>9753.24</v>
      </c>
      <c r="K244" s="2">
        <v>46233</v>
      </c>
      <c r="L244">
        <v>3</v>
      </c>
    </row>
    <row r="245" spans="1:12" x14ac:dyDescent="0.3">
      <c r="A245" t="s">
        <v>298</v>
      </c>
      <c r="B245" t="s">
        <v>27</v>
      </c>
      <c r="C245" t="s">
        <v>28</v>
      </c>
      <c r="D245" t="s">
        <v>57</v>
      </c>
      <c r="E245" t="s">
        <v>43</v>
      </c>
      <c r="F245" t="s">
        <v>22</v>
      </c>
      <c r="G245" s="1">
        <v>33068</v>
      </c>
      <c r="H245" s="1">
        <v>15657</v>
      </c>
      <c r="I245">
        <v>15</v>
      </c>
      <c r="J245" s="1">
        <v>12450.8</v>
      </c>
      <c r="K245" s="2">
        <v>46165</v>
      </c>
      <c r="L245">
        <v>6</v>
      </c>
    </row>
    <row r="246" spans="1:12" x14ac:dyDescent="0.3">
      <c r="A246" t="s">
        <v>299</v>
      </c>
      <c r="B246" t="s">
        <v>47</v>
      </c>
      <c r="C246" t="s">
        <v>48</v>
      </c>
      <c r="D246" t="s">
        <v>15</v>
      </c>
      <c r="E246" t="s">
        <v>63</v>
      </c>
      <c r="F246" t="s">
        <v>22</v>
      </c>
      <c r="G246" s="1">
        <v>67921</v>
      </c>
      <c r="H246" s="1">
        <v>56579</v>
      </c>
      <c r="I246">
        <v>9</v>
      </c>
      <c r="J246" s="1">
        <v>5229.1099999999997</v>
      </c>
      <c r="K246" s="2">
        <v>46219</v>
      </c>
      <c r="L246">
        <v>2</v>
      </c>
    </row>
    <row r="247" spans="1:12" x14ac:dyDescent="0.3">
      <c r="A247" t="s">
        <v>300</v>
      </c>
      <c r="B247" t="s">
        <v>99</v>
      </c>
      <c r="C247" t="s">
        <v>100</v>
      </c>
      <c r="D247" t="s">
        <v>33</v>
      </c>
      <c r="E247" t="s">
        <v>61</v>
      </c>
      <c r="F247" t="s">
        <v>17</v>
      </c>
      <c r="G247" s="1">
        <v>67586</v>
      </c>
      <c r="H247" s="1">
        <v>34895</v>
      </c>
      <c r="I247">
        <v>13</v>
      </c>
      <c r="J247" s="1">
        <v>23904.82</v>
      </c>
      <c r="K247" s="2">
        <v>46266</v>
      </c>
      <c r="L247">
        <v>2</v>
      </c>
    </row>
    <row r="248" spans="1:12" x14ac:dyDescent="0.3">
      <c r="A248" t="s">
        <v>301</v>
      </c>
      <c r="B248" t="s">
        <v>47</v>
      </c>
      <c r="C248" t="s">
        <v>48</v>
      </c>
      <c r="D248" t="s">
        <v>57</v>
      </c>
      <c r="E248" t="s">
        <v>43</v>
      </c>
      <c r="F248" t="s">
        <v>22</v>
      </c>
      <c r="G248" s="1">
        <v>59430</v>
      </c>
      <c r="H248" s="1">
        <v>50401</v>
      </c>
      <c r="I248">
        <v>29</v>
      </c>
      <c r="J248" s="1">
        <v>-8205.7000000000007</v>
      </c>
      <c r="K248" s="2">
        <v>46130</v>
      </c>
      <c r="L248">
        <v>1</v>
      </c>
    </row>
    <row r="249" spans="1:12" x14ac:dyDescent="0.3">
      <c r="A249" t="s">
        <v>302</v>
      </c>
      <c r="B249" t="s">
        <v>37</v>
      </c>
      <c r="C249" t="s">
        <v>38</v>
      </c>
      <c r="D249" t="s">
        <v>29</v>
      </c>
      <c r="E249" t="s">
        <v>21</v>
      </c>
      <c r="F249" t="s">
        <v>22</v>
      </c>
      <c r="G249" s="1">
        <v>49315</v>
      </c>
      <c r="H249" s="1">
        <v>27424</v>
      </c>
      <c r="I249">
        <v>2</v>
      </c>
      <c r="J249" s="1">
        <v>20904.7</v>
      </c>
      <c r="K249" s="2">
        <v>46081</v>
      </c>
      <c r="L249">
        <v>6</v>
      </c>
    </row>
    <row r="250" spans="1:12" x14ac:dyDescent="0.3">
      <c r="A250" t="s">
        <v>303</v>
      </c>
      <c r="B250" t="s">
        <v>37</v>
      </c>
      <c r="C250" t="s">
        <v>38</v>
      </c>
      <c r="D250" t="s">
        <v>33</v>
      </c>
      <c r="E250" t="s">
        <v>16</v>
      </c>
      <c r="F250" t="s">
        <v>17</v>
      </c>
      <c r="G250" s="1">
        <v>93977</v>
      </c>
      <c r="H250" s="1">
        <v>69776</v>
      </c>
      <c r="I250">
        <v>25</v>
      </c>
      <c r="J250" s="1">
        <v>706.75</v>
      </c>
      <c r="K250" s="2">
        <v>46059</v>
      </c>
      <c r="L250">
        <v>3</v>
      </c>
    </row>
    <row r="251" spans="1:12" x14ac:dyDescent="0.3">
      <c r="A251" t="s">
        <v>304</v>
      </c>
      <c r="B251" t="s">
        <v>37</v>
      </c>
      <c r="C251" t="s">
        <v>38</v>
      </c>
      <c r="D251" t="s">
        <v>33</v>
      </c>
      <c r="E251" t="s">
        <v>43</v>
      </c>
      <c r="F251" t="s">
        <v>22</v>
      </c>
      <c r="G251" s="1">
        <v>62225</v>
      </c>
      <c r="H251" s="1">
        <v>47492</v>
      </c>
      <c r="I251">
        <v>4</v>
      </c>
      <c r="J251" s="1">
        <v>12244</v>
      </c>
      <c r="K251" s="2">
        <v>46138</v>
      </c>
      <c r="L251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zoomScale="75" zoomScaleNormal="77" workbookViewId="0">
      <selection activeCell="L31" sqref="L31"/>
    </sheetView>
  </sheetViews>
  <sheetFormatPr defaultRowHeight="14.4" x14ac:dyDescent="0.3"/>
  <cols>
    <col min="1" max="1" width="6.44140625" customWidth="1"/>
    <col min="2" max="2" width="15.109375" customWidth="1"/>
    <col min="3" max="3" width="21.33203125" customWidth="1"/>
    <col min="4" max="4" width="22.44140625" customWidth="1"/>
    <col min="6" max="6" width="9.44140625" customWidth="1"/>
    <col min="7" max="7" width="20.33203125" customWidth="1"/>
    <col min="8" max="8" width="23.6640625" customWidth="1"/>
    <col min="9" max="9" width="12.88671875" customWidth="1"/>
    <col min="10" max="10" width="11.88671875" customWidth="1"/>
  </cols>
  <sheetData>
    <row r="2" spans="2:8" ht="23.4" x14ac:dyDescent="0.45">
      <c r="B2" s="75" t="s">
        <v>305</v>
      </c>
      <c r="C2" s="75"/>
      <c r="D2" s="75"/>
      <c r="E2" s="75"/>
      <c r="G2" s="75" t="s">
        <v>311</v>
      </c>
      <c r="H2" s="75"/>
    </row>
    <row r="3" spans="2:8" ht="15" thickBot="1" x14ac:dyDescent="0.35"/>
    <row r="4" spans="2:8" ht="21" customHeight="1" thickBot="1" x14ac:dyDescent="0.35">
      <c r="B4" s="4" t="s">
        <v>306</v>
      </c>
      <c r="C4" s="5" t="s">
        <v>307</v>
      </c>
      <c r="D4" s="4" t="s">
        <v>308</v>
      </c>
      <c r="G4" s="6" t="s">
        <v>309</v>
      </c>
      <c r="H4" s="6" t="s">
        <v>310</v>
      </c>
    </row>
    <row r="5" spans="2:8" ht="15" thickBot="1" x14ac:dyDescent="0.35">
      <c r="B5" s="63" t="str" cm="1">
        <f t="array" ref="B5:B19">_xlfn.UNIQUE(Sales_Data!B2:B251)</f>
        <v>C111</v>
      </c>
      <c r="C5" s="64" t="str">
        <f>_xlfn.XLOOKUP(B5,Sales_Data!B:B,Sales_Data!C:C)</f>
        <v>Arjun</v>
      </c>
      <c r="D5" s="67">
        <f>SUMIF(Sales_Data!B:B,B5,Sales_Data!G:G)</f>
        <v>1202281</v>
      </c>
      <c r="G5" s="73">
        <v>0</v>
      </c>
      <c r="H5" s="70" cm="1">
        <f t="array" ref="H5">SUMPRODUCT(Sales_Data!G2:G251-Sales_Data!H2:H251-(Sales_Data!G2:G251*E11))</f>
        <v>3836093</v>
      </c>
    </row>
    <row r="6" spans="2:8" ht="15" thickBot="1" x14ac:dyDescent="0.35">
      <c r="B6" s="63" t="str">
        <v>C102</v>
      </c>
      <c r="C6" s="64" t="str">
        <f>_xlfn.XLOOKUP(B6,Sales_Data!B:B,Sales_Data!C:C)</f>
        <v>Priya</v>
      </c>
      <c r="D6" s="67">
        <f>SUMIF(Sales_Data!B:B,B6,Sales_Data!G:G)</f>
        <v>735182</v>
      </c>
      <c r="G6" s="74">
        <v>0.05</v>
      </c>
      <c r="H6" s="70" cm="1">
        <f t="array" ref="H6">SUMPRODUCT(Sales_Data!G3:G252-Sales_Data!H3:H252-(Sales_Data!G3:G252*E12))</f>
        <v>3794536</v>
      </c>
    </row>
    <row r="7" spans="2:8" ht="15" thickBot="1" x14ac:dyDescent="0.35">
      <c r="B7" s="63" t="str">
        <v>C109</v>
      </c>
      <c r="C7" s="64" t="str">
        <f>_xlfn.XLOOKUP(B7,Sales_Data!B:B,Sales_Data!C:C)</f>
        <v>Dev</v>
      </c>
      <c r="D7" s="67">
        <f>SUMIF(Sales_Data!B:B,B7,Sales_Data!G:G)</f>
        <v>861185</v>
      </c>
      <c r="G7" s="73">
        <v>0.1</v>
      </c>
      <c r="H7" s="70" cm="1">
        <f t="array" ref="H7">SUMPRODUCT(Sales_Data!G4:G253-Sales_Data!H4:H253-(Sales_Data!G4:G253*E13))</f>
        <v>3764750</v>
      </c>
    </row>
    <row r="8" spans="2:8" ht="15" thickBot="1" x14ac:dyDescent="0.35">
      <c r="B8" s="63" t="str">
        <v>C104</v>
      </c>
      <c r="C8" s="64" t="str">
        <f>_xlfn.XLOOKUP(B8,Sales_Data!B:B,Sales_Data!C:C)</f>
        <v>Neha</v>
      </c>
      <c r="D8" s="67">
        <f>SUMIF(Sales_Data!B:B,B8,Sales_Data!G:G)</f>
        <v>624849</v>
      </c>
      <c r="G8" s="74">
        <v>0.15</v>
      </c>
      <c r="H8" s="70" cm="1">
        <f t="array" ref="H8">SUMPRODUCT(Sales_Data!G5:G254-Sales_Data!H5:H254-(Sales_Data!G5:G254*E14))</f>
        <v>3758744</v>
      </c>
    </row>
    <row r="9" spans="2:8" ht="15" thickBot="1" x14ac:dyDescent="0.35">
      <c r="B9" s="63" t="str">
        <v>C107</v>
      </c>
      <c r="C9" s="64" t="str">
        <f>_xlfn.XLOOKUP(B9,Sales_Data!B:B,Sales_Data!C:C)</f>
        <v>Karan</v>
      </c>
      <c r="D9" s="67">
        <f>SUMIF(Sales_Data!B:B,B9,Sales_Data!G:G)</f>
        <v>621620</v>
      </c>
      <c r="G9" s="73">
        <v>0.2</v>
      </c>
      <c r="H9" s="70" cm="1">
        <f t="array" ref="H9">SUMPRODUCT(Sales_Data!G6:G255-Sales_Data!H6:H255-(Sales_Data!G6:G255*E15))</f>
        <v>3751915</v>
      </c>
    </row>
    <row r="10" spans="2:8" ht="15" thickBot="1" x14ac:dyDescent="0.35">
      <c r="B10" s="63" t="str">
        <v>C101</v>
      </c>
      <c r="C10" s="64" t="str">
        <f>_xlfn.XLOOKUP(B10,Sales_Data!B:B,Sales_Data!C:C)</f>
        <v>Rahul</v>
      </c>
      <c r="D10" s="67">
        <f>SUMIF(Sales_Data!B:B,B10,Sales_Data!G:G)</f>
        <v>875459</v>
      </c>
      <c r="G10" s="74">
        <v>0.25</v>
      </c>
      <c r="H10" s="70" cm="1">
        <f t="array" ref="H10">SUMPRODUCT(Sales_Data!G7:G256-Sales_Data!H7:H256-(Sales_Data!G7:G256*E16))</f>
        <v>3742545</v>
      </c>
    </row>
    <row r="11" spans="2:8" ht="15" thickBot="1" x14ac:dyDescent="0.35">
      <c r="B11" s="63" t="str">
        <v>C105</v>
      </c>
      <c r="C11" s="64" t="str">
        <f>_xlfn.XLOOKUP(B11,Sales_Data!B:B,Sales_Data!C:C)</f>
        <v>Jay</v>
      </c>
      <c r="D11" s="67">
        <f>SUMIF(Sales_Data!B:B,B11,Sales_Data!G:G)</f>
        <v>1393310</v>
      </c>
      <c r="G11" s="73">
        <v>0.3</v>
      </c>
      <c r="H11" s="71" cm="1">
        <f t="array" ref="H11">SUMPRODUCT(Sales_Data!G8:G257-Sales_Data!H8:H257-(Sales_Data!G8:G257*E17))</f>
        <v>3734560</v>
      </c>
    </row>
    <row r="12" spans="2:8" ht="15" thickBot="1" x14ac:dyDescent="0.35">
      <c r="B12" s="63" t="str">
        <v>C115</v>
      </c>
      <c r="C12" s="64" t="str">
        <f>_xlfn.XLOOKUP(B12,Sales_Data!B:B,Sales_Data!C:C)</f>
        <v>Vivek</v>
      </c>
      <c r="D12" s="67">
        <f>SUMIF(Sales_Data!B:B,B12,Sales_Data!G:G)</f>
        <v>1015197</v>
      </c>
      <c r="G12" s="74">
        <v>0.35</v>
      </c>
      <c r="H12" s="71" cm="1">
        <f t="array" ref="H12">SUMPRODUCT(Sales_Data!G9:G258-Sales_Data!H9:H258-(Sales_Data!G9:G258*E18))</f>
        <v>3732692</v>
      </c>
    </row>
    <row r="13" spans="2:8" ht="15" thickBot="1" x14ac:dyDescent="0.35">
      <c r="B13" s="63" t="str">
        <v>C108</v>
      </c>
      <c r="C13" s="64" t="str">
        <f>_xlfn.XLOOKUP(B13,Sales_Data!B:B,Sales_Data!C:C)</f>
        <v>Riya</v>
      </c>
      <c r="D13" s="67">
        <f>SUMIF(Sales_Data!B:B,B13,Sales_Data!G:G)</f>
        <v>1013143</v>
      </c>
      <c r="G13" s="73">
        <v>0.4</v>
      </c>
      <c r="H13" s="71" cm="1">
        <f t="array" ref="H13">SUMPRODUCT(Sales_Data!G10:G259-Sales_Data!H10:H259-(Sales_Data!G10:G259*E19))</f>
        <v>3726751</v>
      </c>
    </row>
    <row r="14" spans="2:8" ht="15" thickBot="1" x14ac:dyDescent="0.35">
      <c r="B14" s="63" t="str">
        <v>C113</v>
      </c>
      <c r="C14" s="64" t="str">
        <f>_xlfn.XLOOKUP(B14,Sales_Data!B:B,Sales_Data!C:C)</f>
        <v>Rohan</v>
      </c>
      <c r="D14" s="67">
        <f>SUMIF(Sales_Data!B:B,B14,Sales_Data!G:G)</f>
        <v>980219</v>
      </c>
      <c r="G14" s="74">
        <v>0.45</v>
      </c>
      <c r="H14" s="71" cm="1">
        <f t="array" ref="H14">SUMPRODUCT(Sales_Data!G11:G260-Sales_Data!H11:H260-(Sales_Data!G11:G260*E20))</f>
        <v>3721818</v>
      </c>
    </row>
    <row r="15" spans="2:8" ht="15" thickBot="1" x14ac:dyDescent="0.35">
      <c r="B15" s="63" t="str">
        <v>C112</v>
      </c>
      <c r="C15" s="64" t="str">
        <f>_xlfn.XLOOKUP(B15,Sales_Data!B:B,Sales_Data!C:C)</f>
        <v>Kavya</v>
      </c>
      <c r="D15" s="67">
        <f>SUMIF(Sales_Data!B:B,B15,Sales_Data!G:G)</f>
        <v>885563</v>
      </c>
      <c r="G15" s="73">
        <v>0.5</v>
      </c>
      <c r="H15" s="71" cm="1">
        <f t="array" ref="H15">SUMPRODUCT(Sales_Data!G12:G261-Sales_Data!H12:H261-(Sales_Data!G12:G261*E21))</f>
        <v>3702771</v>
      </c>
    </row>
    <row r="16" spans="2:8" ht="15" thickBot="1" x14ac:dyDescent="0.35">
      <c r="B16" s="63" t="str">
        <v>C110</v>
      </c>
      <c r="C16" s="64" t="str">
        <f>_xlfn.XLOOKUP(B16,Sales_Data!B:B,Sales_Data!C:C)</f>
        <v>Isha</v>
      </c>
      <c r="D16" s="68">
        <f>SUMIF(Sales_Data!B:B,B16,Sales_Data!G:G)</f>
        <v>380323</v>
      </c>
      <c r="G16" s="74">
        <v>0.55000000000000004</v>
      </c>
      <c r="H16" s="71" cm="1">
        <f t="array" ref="H16">SUMPRODUCT(Sales_Data!G13:G262-Sales_Data!H13:H262-(Sales_Data!G13:G262*C22))</f>
        <v>3663263</v>
      </c>
    </row>
    <row r="17" spans="2:8" ht="15" thickBot="1" x14ac:dyDescent="0.35">
      <c r="B17" s="63" t="str">
        <v>C114</v>
      </c>
      <c r="C17" s="64" t="str">
        <f>_xlfn.XLOOKUP(B17,Sales_Data!B:B,Sales_Data!C:C)</f>
        <v>Anjali</v>
      </c>
      <c r="D17" s="68">
        <f>SUMIF(Sales_Data!B:B,B17,Sales_Data!G:G)</f>
        <v>169478</v>
      </c>
      <c r="G17" s="73">
        <v>0.6</v>
      </c>
      <c r="H17" s="71" cm="1">
        <f t="array" ref="H17">SUMPRODUCT(Sales_Data!G14:G263-Sales_Data!H14:H263-(Sales_Data!G14:G263*E23))</f>
        <v>3643030</v>
      </c>
    </row>
    <row r="18" spans="2:8" ht="15" thickBot="1" x14ac:dyDescent="0.35">
      <c r="B18" s="63" t="str">
        <v>C106</v>
      </c>
      <c r="C18" s="64" t="str">
        <f>_xlfn.XLOOKUP(B18,Sales_Data!B:B,Sales_Data!C:C)</f>
        <v>Meera</v>
      </c>
      <c r="D18" s="67">
        <f>SUMIF(Sales_Data!B:B,B18,Sales_Data!G:G)</f>
        <v>790274</v>
      </c>
      <c r="G18" s="74">
        <v>0.65</v>
      </c>
      <c r="H18" s="71" cm="1">
        <f t="array" ref="H18">SUMPRODUCT(Sales_Data!G15:G264-Sales_Data!H15:H264-(Sales_Data!G15:G264*E24))</f>
        <v>3642183</v>
      </c>
    </row>
    <row r="19" spans="2:8" ht="15" thickBot="1" x14ac:dyDescent="0.35">
      <c r="B19" s="65" t="str">
        <v>C103</v>
      </c>
      <c r="C19" s="66" t="str">
        <f>_xlfn.XLOOKUP(B19,Sales_Data!B:B,Sales_Data!C:C)</f>
        <v>Amit</v>
      </c>
      <c r="D19" s="69">
        <f>SUMIF(Sales_Data!B:B,B19,Sales_Data!G:G)</f>
        <v>569478</v>
      </c>
      <c r="G19" s="73">
        <v>0.7</v>
      </c>
      <c r="H19" s="72" cm="1">
        <f t="array" ref="H19">SUMPRODUCT(Sales_Data!G16:G265-Sales_Data!H16:H265-(Sales_Data!G16:G265*E25))</f>
        <v>3614135</v>
      </c>
    </row>
  </sheetData>
  <conditionalFormatting sqref="D5:D19">
    <cfRule type="colorScale" priority="2">
      <colorScale>
        <cfvo type="min"/>
        <cfvo type="max"/>
        <color rgb="FF63BE7B"/>
        <color rgb="FFFFEF9C"/>
      </colorScale>
    </cfRule>
  </conditionalFormatting>
  <conditionalFormatting sqref="H5:H19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E77A-2A9A-4971-805F-213063D36AD5}">
  <dimension ref="A1:Z22"/>
  <sheetViews>
    <sheetView zoomScale="79" zoomScaleNormal="70" workbookViewId="0">
      <selection activeCell="F13" sqref="F13"/>
    </sheetView>
  </sheetViews>
  <sheetFormatPr defaultRowHeight="14.4" x14ac:dyDescent="0.3"/>
  <cols>
    <col min="1" max="1" width="26.21875" customWidth="1"/>
    <col min="2" max="2" width="26.109375" customWidth="1"/>
  </cols>
  <sheetData>
    <row r="1" spans="1:26" x14ac:dyDescent="0.3">
      <c r="A1" s="7"/>
      <c r="B1" s="96" t="s">
        <v>347</v>
      </c>
      <c r="C1" s="97"/>
      <c r="D1" s="97"/>
      <c r="E1" s="97"/>
      <c r="F1" s="98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">
      <c r="B2" s="99"/>
      <c r="C2" s="100"/>
      <c r="D2" s="100"/>
      <c r="E2" s="100"/>
      <c r="F2" s="101"/>
    </row>
    <row r="3" spans="1:26" ht="15" thickBot="1" x14ac:dyDescent="0.35">
      <c r="B3" s="102"/>
      <c r="C3" s="103"/>
      <c r="D3" s="103"/>
      <c r="E3" s="103"/>
      <c r="F3" s="104"/>
    </row>
    <row r="4" spans="1:26" ht="15" thickTop="1" x14ac:dyDescent="0.3"/>
    <row r="7" spans="1:26" x14ac:dyDescent="0.3">
      <c r="Y7" s="15"/>
      <c r="Z7" s="16"/>
    </row>
    <row r="8" spans="1:26" ht="15" thickBot="1" x14ac:dyDescent="0.35">
      <c r="A8" s="13" t="s">
        <v>6</v>
      </c>
      <c r="B8" s="14"/>
      <c r="Y8" s="15"/>
    </row>
    <row r="9" spans="1:26" x14ac:dyDescent="0.3">
      <c r="A9" s="79"/>
      <c r="B9" s="58"/>
      <c r="X9" s="15"/>
    </row>
    <row r="10" spans="1:26" ht="15" thickBot="1" x14ac:dyDescent="0.35">
      <c r="A10" s="80" t="s">
        <v>312</v>
      </c>
      <c r="B10" s="18">
        <v>48470.243999999999</v>
      </c>
      <c r="Y10" s="15"/>
    </row>
    <row r="11" spans="1:26" ht="15.6" thickTop="1" thickBot="1" x14ac:dyDescent="0.35">
      <c r="A11" s="81" t="s">
        <v>313</v>
      </c>
      <c r="B11" s="19">
        <v>1839.6757798082542</v>
      </c>
      <c r="Y11" s="15"/>
    </row>
    <row r="12" spans="1:26" ht="15.6" thickTop="1" thickBot="1" x14ac:dyDescent="0.35">
      <c r="A12" s="81" t="s">
        <v>314</v>
      </c>
      <c r="B12" s="19">
        <v>48777</v>
      </c>
      <c r="Y12" s="15"/>
    </row>
    <row r="13" spans="1:26" ht="15.6" thickTop="1" thickBot="1" x14ac:dyDescent="0.35">
      <c r="A13" s="81" t="s">
        <v>315</v>
      </c>
      <c r="B13" s="84" t="e">
        <v>#N/A</v>
      </c>
    </row>
    <row r="14" spans="1:26" ht="15" thickTop="1" x14ac:dyDescent="0.3">
      <c r="A14" s="82" t="s">
        <v>316</v>
      </c>
      <c r="B14" s="11">
        <v>29087.828102202424</v>
      </c>
    </row>
    <row r="15" spans="1:26" ht="15" thickBot="1" x14ac:dyDescent="0.35">
      <c r="A15" s="80" t="s">
        <v>317</v>
      </c>
      <c r="B15" s="18">
        <v>846101743.70327699</v>
      </c>
    </row>
    <row r="16" spans="1:26" ht="15" thickTop="1" x14ac:dyDescent="0.3">
      <c r="A16" s="82" t="s">
        <v>318</v>
      </c>
      <c r="B16" s="11">
        <v>-1.2596132787690739</v>
      </c>
    </row>
    <row r="17" spans="1:2" ht="15" thickBot="1" x14ac:dyDescent="0.35">
      <c r="A17" s="80" t="s">
        <v>319</v>
      </c>
      <c r="B17" s="18">
        <v>3.6539884281610396E-2</v>
      </c>
    </row>
    <row r="18" spans="1:2" ht="15.6" thickTop="1" thickBot="1" x14ac:dyDescent="0.35">
      <c r="A18" s="81" t="s">
        <v>320</v>
      </c>
      <c r="B18" s="19">
        <v>98550</v>
      </c>
    </row>
    <row r="19" spans="1:2" ht="15.6" thickTop="1" thickBot="1" x14ac:dyDescent="0.35">
      <c r="A19" s="81" t="s">
        <v>321</v>
      </c>
      <c r="B19" s="19">
        <v>636</v>
      </c>
    </row>
    <row r="20" spans="1:2" ht="15" thickTop="1" x14ac:dyDescent="0.3">
      <c r="A20" s="82" t="s">
        <v>322</v>
      </c>
      <c r="B20" s="11">
        <v>99186</v>
      </c>
    </row>
    <row r="21" spans="1:2" ht="15" thickBot="1" x14ac:dyDescent="0.35">
      <c r="A21" s="80" t="s">
        <v>323</v>
      </c>
      <c r="B21" s="17">
        <v>12117561</v>
      </c>
    </row>
    <row r="22" spans="1:2" ht="15.6" thickTop="1" thickBot="1" x14ac:dyDescent="0.35">
      <c r="A22" s="83" t="s">
        <v>324</v>
      </c>
      <c r="B22" s="12">
        <v>250</v>
      </c>
    </row>
  </sheetData>
  <mergeCells count="1">
    <mergeCell ref="B1:F3"/>
  </mergeCells>
  <conditionalFormatting sqref="B10:B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B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5924-44B2-4B76-B00B-7629147B3BC7}">
  <dimension ref="A1:I43"/>
  <sheetViews>
    <sheetView zoomScale="60" zoomScaleNormal="55" workbookViewId="0">
      <selection activeCell="N32" sqref="N32"/>
    </sheetView>
  </sheetViews>
  <sheetFormatPr defaultRowHeight="14.4" x14ac:dyDescent="0.3"/>
  <cols>
    <col min="1" max="1" width="22.21875" customWidth="1"/>
    <col min="2" max="2" width="23.5546875" customWidth="1"/>
    <col min="3" max="3" width="25.109375" customWidth="1"/>
    <col min="4" max="4" width="18.21875" customWidth="1"/>
    <col min="5" max="5" width="19" customWidth="1"/>
    <col min="6" max="6" width="19.6640625" customWidth="1"/>
    <col min="7" max="7" width="20.109375" customWidth="1"/>
    <col min="8" max="8" width="19.5546875" customWidth="1"/>
    <col min="9" max="9" width="18.77734375" customWidth="1"/>
  </cols>
  <sheetData>
    <row r="1" spans="1:9" ht="37.200000000000003" customHeight="1" x14ac:dyDescent="0.8">
      <c r="A1" s="112" t="s">
        <v>357</v>
      </c>
      <c r="B1" s="112"/>
      <c r="C1" s="112"/>
      <c r="D1" s="112"/>
    </row>
    <row r="2" spans="1:9" ht="34.799999999999997" customHeight="1" thickBot="1" x14ac:dyDescent="0.35"/>
    <row r="3" spans="1:9" ht="15" thickBot="1" x14ac:dyDescent="0.35">
      <c r="A3" s="37" t="s">
        <v>325</v>
      </c>
      <c r="B3" s="38"/>
    </row>
    <row r="4" spans="1:9" x14ac:dyDescent="0.3">
      <c r="A4" s="34" t="s">
        <v>326</v>
      </c>
      <c r="B4" s="31">
        <v>0.54704698825849041</v>
      </c>
    </row>
    <row r="5" spans="1:9" x14ac:dyDescent="0.3">
      <c r="A5" s="35" t="s">
        <v>327</v>
      </c>
      <c r="B5" s="32">
        <v>0.29926040736268489</v>
      </c>
    </row>
    <row r="6" spans="1:9" x14ac:dyDescent="0.3">
      <c r="A6" s="35" t="s">
        <v>328</v>
      </c>
      <c r="B6" s="32">
        <v>0.29643484448914731</v>
      </c>
    </row>
    <row r="7" spans="1:9" x14ac:dyDescent="0.3">
      <c r="A7" s="35" t="s">
        <v>313</v>
      </c>
      <c r="B7" s="32">
        <v>7966.4861198981116</v>
      </c>
    </row>
    <row r="8" spans="1:9" ht="15" thickBot="1" x14ac:dyDescent="0.35">
      <c r="A8" s="36" t="s">
        <v>329</v>
      </c>
      <c r="B8" s="33">
        <v>250</v>
      </c>
    </row>
    <row r="10" spans="1:9" ht="15" thickBot="1" x14ac:dyDescent="0.35"/>
    <row r="11" spans="1:9" ht="15" thickBot="1" x14ac:dyDescent="0.35">
      <c r="A11" s="21" t="s">
        <v>330</v>
      </c>
      <c r="B11" s="22" t="s">
        <v>335</v>
      </c>
      <c r="C11" s="23" t="s">
        <v>336</v>
      </c>
      <c r="D11" s="22" t="s">
        <v>337</v>
      </c>
      <c r="E11" s="23" t="s">
        <v>338</v>
      </c>
      <c r="F11" s="22" t="s">
        <v>339</v>
      </c>
    </row>
    <row r="12" spans="1:9" x14ac:dyDescent="0.3">
      <c r="A12" s="29" t="s">
        <v>331</v>
      </c>
      <c r="B12" s="9">
        <v>1</v>
      </c>
      <c r="C12">
        <v>6721680955.6249657</v>
      </c>
      <c r="D12" s="9">
        <v>6721680955.6249657</v>
      </c>
      <c r="E12">
        <v>105.91178492801171</v>
      </c>
      <c r="F12" s="9">
        <v>6.4758946094386219E-21</v>
      </c>
    </row>
    <row r="13" spans="1:9" x14ac:dyDescent="0.3">
      <c r="A13" s="29" t="s">
        <v>332</v>
      </c>
      <c r="B13" s="9">
        <v>248</v>
      </c>
      <c r="C13">
        <v>15739295472.435257</v>
      </c>
      <c r="D13" s="9">
        <v>63464901.098529264</v>
      </c>
      <c r="F13" s="9"/>
    </row>
    <row r="14" spans="1:9" ht="15" thickBot="1" x14ac:dyDescent="0.35">
      <c r="A14" s="30" t="s">
        <v>333</v>
      </c>
      <c r="B14" s="10">
        <v>249</v>
      </c>
      <c r="C14" s="8">
        <v>22460976428.060223</v>
      </c>
      <c r="D14" s="10"/>
      <c r="E14" s="8"/>
      <c r="F14" s="10"/>
    </row>
    <row r="15" spans="1:9" ht="15" thickBot="1" x14ac:dyDescent="0.35"/>
    <row r="16" spans="1:9" ht="15" thickBot="1" x14ac:dyDescent="0.35">
      <c r="A16" s="24"/>
      <c r="B16" s="25" t="s">
        <v>340</v>
      </c>
      <c r="C16" s="26" t="s">
        <v>313</v>
      </c>
      <c r="D16" s="25" t="s">
        <v>341</v>
      </c>
      <c r="E16" s="26" t="s">
        <v>342</v>
      </c>
      <c r="F16" s="25" t="s">
        <v>343</v>
      </c>
      <c r="G16" s="26" t="s">
        <v>344</v>
      </c>
      <c r="H16" s="25" t="s">
        <v>345</v>
      </c>
      <c r="I16" s="26" t="s">
        <v>346</v>
      </c>
    </row>
    <row r="17" spans="1:9" x14ac:dyDescent="0.3">
      <c r="A17" s="27" t="s">
        <v>334</v>
      </c>
      <c r="B17">
        <v>-290.88543600303092</v>
      </c>
      <c r="C17" s="9">
        <v>980.60216408410963</v>
      </c>
      <c r="D17">
        <v>-0.29663960233528575</v>
      </c>
      <c r="E17" s="9">
        <v>0.76698995242980095</v>
      </c>
      <c r="F17">
        <v>-2222.2555842761612</v>
      </c>
      <c r="G17" s="9">
        <v>1640.4847122700996</v>
      </c>
      <c r="H17">
        <v>-2222.2555842761612</v>
      </c>
      <c r="I17" s="9">
        <v>1640.4847122700996</v>
      </c>
    </row>
    <row r="18" spans="1:9" ht="15" thickBot="1" x14ac:dyDescent="0.35">
      <c r="A18" s="28" t="s">
        <v>6</v>
      </c>
      <c r="B18" s="8">
        <v>0.17861913375148339</v>
      </c>
      <c r="C18" s="10">
        <v>1.7356247526998513E-2</v>
      </c>
      <c r="D18" s="8">
        <v>10.291345146675996</v>
      </c>
      <c r="E18" s="10">
        <v>6.4758946094388559E-21</v>
      </c>
      <c r="F18" s="8">
        <v>0.14443469118399888</v>
      </c>
      <c r="G18" s="43">
        <v>0.2128035763189679</v>
      </c>
      <c r="H18" s="8">
        <v>0.14443469118399888</v>
      </c>
      <c r="I18" s="10">
        <v>0.2128035763189679</v>
      </c>
    </row>
    <row r="19" spans="1:9" x14ac:dyDescent="0.3">
      <c r="B19" s="20"/>
      <c r="C19" s="20"/>
    </row>
    <row r="22" spans="1:9" ht="15" thickBot="1" x14ac:dyDescent="0.35"/>
    <row r="23" spans="1:9" x14ac:dyDescent="0.3">
      <c r="A23" s="105" t="s">
        <v>348</v>
      </c>
      <c r="B23" s="106"/>
      <c r="C23" s="106"/>
      <c r="D23" s="107"/>
    </row>
    <row r="24" spans="1:9" ht="15" thickBot="1" x14ac:dyDescent="0.35">
      <c r="A24" s="108"/>
      <c r="B24" s="109"/>
      <c r="C24" s="109"/>
      <c r="D24" s="110"/>
    </row>
    <row r="27" spans="1:9" ht="15" thickBot="1" x14ac:dyDescent="0.35"/>
    <row r="28" spans="1:9" ht="16.2" thickBot="1" x14ac:dyDescent="0.35">
      <c r="A28" s="56" t="s">
        <v>349</v>
      </c>
      <c r="B28" s="57" t="s">
        <v>350</v>
      </c>
      <c r="C28" s="56" t="s">
        <v>351</v>
      </c>
    </row>
    <row r="29" spans="1:9" x14ac:dyDescent="0.3">
      <c r="A29" s="49" t="str" cm="1">
        <f t="array" ref="A29:A43">_xlfn.UNIQUE(Sales_Data!C2:C51)</f>
        <v>Arjun</v>
      </c>
      <c r="B29" s="76">
        <f>SUMIF(Sales_Data!$C$2:$C$251,A29,Sales_Data!$G$2:$G$251)</f>
        <v>1202281</v>
      </c>
      <c r="C29" s="53">
        <f>SUMIF(Sales_Data!$C$2:$C$251,Regression!A29,Sales_Data!$J$2:$J$251)</f>
        <v>230257.17</v>
      </c>
    </row>
    <row r="30" spans="1:9" x14ac:dyDescent="0.3">
      <c r="A30" s="49" t="str">
        <v>Priya</v>
      </c>
      <c r="B30" s="76">
        <f>SUMIF(Sales_Data!$C$2:$C$251,A30,Sales_Data!$G$2:$G$251)</f>
        <v>735182</v>
      </c>
      <c r="C30" s="53">
        <f>SUMIF(Sales_Data!$C$2:$C$251,Regression!A30,Sales_Data!$J$2:$J$251)</f>
        <v>117874.90999999997</v>
      </c>
    </row>
    <row r="31" spans="1:9" x14ac:dyDescent="0.3">
      <c r="A31" s="49" t="str">
        <v>Dev</v>
      </c>
      <c r="B31" s="76">
        <f>SUMIF(Sales_Data!$C$2:$C$251,A31,Sales_Data!$G$2:$G$251)</f>
        <v>861185</v>
      </c>
      <c r="C31" s="53">
        <f>SUMIF(Sales_Data!$C$2:$C$251,Regression!A31,Sales_Data!$J$2:$J$251)</f>
        <v>131965.35</v>
      </c>
    </row>
    <row r="32" spans="1:9" ht="17.399999999999999" x14ac:dyDescent="0.45">
      <c r="A32" s="49" t="str">
        <v>Neha</v>
      </c>
      <c r="B32" s="76">
        <f>SUMIF(Sales_Data!$C$2:$C$251,A32,Sales_Data!$G$2:$G$251)</f>
        <v>624849</v>
      </c>
      <c r="C32" s="53">
        <f>SUMIF(Sales_Data!$C$2:$C$251,Regression!A32,Sales_Data!$J$2:$J$251)</f>
        <v>145863.32999999999</v>
      </c>
      <c r="G32" s="111"/>
    </row>
    <row r="33" spans="1:3" x14ac:dyDescent="0.3">
      <c r="A33" s="49" t="str">
        <v>Karan</v>
      </c>
      <c r="B33" s="76">
        <f>SUMIF(Sales_Data!$C$2:$C$251,A33,Sales_Data!$G$2:$G$251)</f>
        <v>621620</v>
      </c>
      <c r="C33" s="53">
        <f>SUMIF(Sales_Data!$C$2:$C$251,Regression!A33,Sales_Data!$J$2:$J$251)</f>
        <v>133982.70000000001</v>
      </c>
    </row>
    <row r="34" spans="1:3" x14ac:dyDescent="0.3">
      <c r="A34" s="49" t="str">
        <v>Rahul</v>
      </c>
      <c r="B34" s="76">
        <f>SUMIF(Sales_Data!$C$2:$C$251,A34,Sales_Data!$G$2:$G$251)</f>
        <v>875459</v>
      </c>
      <c r="C34" s="53">
        <f>SUMIF(Sales_Data!$C$2:$C$251,Regression!A34,Sales_Data!$J$2:$J$251)</f>
        <v>221881.69000000003</v>
      </c>
    </row>
    <row r="35" spans="1:3" x14ac:dyDescent="0.3">
      <c r="A35" s="55" t="str">
        <v>Jay</v>
      </c>
      <c r="B35" s="77">
        <f>SUMIF(Sales_Data!$C$2:$C$251,A35,Sales_Data!$G$2:$G$251)</f>
        <v>1393310</v>
      </c>
      <c r="C35" s="60">
        <f>SUMIF(Sales_Data!$C$2:$C$251,Regression!A35,Sales_Data!$J$2:$J$251)</f>
        <v>241395.23000000004</v>
      </c>
    </row>
    <row r="36" spans="1:3" x14ac:dyDescent="0.3">
      <c r="A36" s="49" t="str">
        <v>Vivek</v>
      </c>
      <c r="B36" s="76">
        <f>SUMIF(Sales_Data!$C$2:$C$251,A36,Sales_Data!$G$2:$G$251)</f>
        <v>1015197</v>
      </c>
      <c r="C36" s="61">
        <f>SUMIF(Sales_Data!$C$2:$C$251,Regression!A36,Sales_Data!$J$2:$J$251)</f>
        <v>145058.75999999998</v>
      </c>
    </row>
    <row r="37" spans="1:3" x14ac:dyDescent="0.3">
      <c r="A37" s="49" t="str">
        <v>Riya</v>
      </c>
      <c r="B37" s="76">
        <f>SUMIF(Sales_Data!$C$2:$C$251,A37,Sales_Data!$G$2:$G$251)</f>
        <v>1013143</v>
      </c>
      <c r="C37" s="53">
        <f>SUMIF(Sales_Data!$C$2:$C$251,Regression!A37,Sales_Data!$J$2:$J$251)</f>
        <v>140638.35999999999</v>
      </c>
    </row>
    <row r="38" spans="1:3" x14ac:dyDescent="0.3">
      <c r="A38" s="49" t="str">
        <v>Rohan</v>
      </c>
      <c r="B38" s="76">
        <f>SUMIF(Sales_Data!$C$2:$C$251,A38,Sales_Data!$G$2:$G$251)</f>
        <v>980219</v>
      </c>
      <c r="C38" s="53">
        <f>SUMIF(Sales_Data!$C$2:$C$251,Regression!A38,Sales_Data!$J$2:$J$251)</f>
        <v>171759.43999999997</v>
      </c>
    </row>
    <row r="39" spans="1:3" x14ac:dyDescent="0.3">
      <c r="A39" s="49" t="str">
        <v>Kavya</v>
      </c>
      <c r="B39" s="76">
        <f>SUMIF(Sales_Data!$C$2:$C$251,A39,Sales_Data!$G$2:$G$251)</f>
        <v>885563</v>
      </c>
      <c r="C39" s="53">
        <f>SUMIF(Sales_Data!$C$2:$C$251,Regression!A39,Sales_Data!$J$2:$J$251)</f>
        <v>146805.57000000004</v>
      </c>
    </row>
    <row r="40" spans="1:3" ht="15" thickBot="1" x14ac:dyDescent="0.35">
      <c r="A40" s="49" t="str">
        <v>Isha</v>
      </c>
      <c r="B40" s="76">
        <f>SUMIF(Sales_Data!$C$2:$C$251,A40,Sales_Data!$G$2:$G$251)</f>
        <v>380323</v>
      </c>
      <c r="C40" s="53">
        <f>SUMIF(Sales_Data!$C$2:$C$251,Regression!A40,Sales_Data!$J$2:$J$251)</f>
        <v>74193.87000000001</v>
      </c>
    </row>
    <row r="41" spans="1:3" ht="15" thickBot="1" x14ac:dyDescent="0.35">
      <c r="A41" s="49" t="str">
        <v>Anjali</v>
      </c>
      <c r="B41" s="77">
        <f>SUMIF(Sales_Data!$C$2:$C$251,A41,Sales_Data!$G$2:$G$251)</f>
        <v>169478</v>
      </c>
      <c r="C41" s="62">
        <f>SUMIF(Sales_Data!$C$2:$C$251,Regression!A41,Sales_Data!$J$2:$J$251)</f>
        <v>14424.65</v>
      </c>
    </row>
    <row r="42" spans="1:3" x14ac:dyDescent="0.3">
      <c r="A42" s="49" t="str">
        <v>Meera</v>
      </c>
      <c r="B42" s="76">
        <f>SUMIF(Sales_Data!$C$2:$C$251,A42,Sales_Data!$G$2:$G$251)</f>
        <v>790274</v>
      </c>
      <c r="C42" s="53">
        <f>SUMIF(Sales_Data!$C$2:$C$251,Regression!A42,Sales_Data!$J$2:$J$251)</f>
        <v>105801.81</v>
      </c>
    </row>
    <row r="43" spans="1:3" ht="15" thickBot="1" x14ac:dyDescent="0.35">
      <c r="A43" s="50" t="str">
        <v>Amit</v>
      </c>
      <c r="B43" s="78">
        <f>SUMIF(Sales_Data!$C$2:$C$251,A43,Sales_Data!$G$2:$G$251)</f>
        <v>569478</v>
      </c>
      <c r="C43" s="54">
        <f>SUMIF(Sales_Data!$C$2:$C$251,Regression!A43,Sales_Data!$J$2:$J$251)</f>
        <v>69804.05</v>
      </c>
    </row>
  </sheetData>
  <mergeCells count="2">
    <mergeCell ref="A1:D1"/>
    <mergeCell ref="A23:D24"/>
  </mergeCells>
  <conditionalFormatting sqref="D31">
    <cfRule type="colorScale" priority="5">
      <colorScale>
        <cfvo type="min"/>
        <cfvo type="max"/>
        <color rgb="FFF8696B"/>
        <color rgb="FFFCFCFF"/>
      </colorScale>
    </cfRule>
  </conditionalFormatting>
  <conditionalFormatting sqref="B29:B4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29:C4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2B70-A1BD-45F4-816E-82D954B31E17}">
  <dimension ref="A1:E20"/>
  <sheetViews>
    <sheetView zoomScale="104" workbookViewId="0">
      <selection activeCell="G23" sqref="G23"/>
    </sheetView>
  </sheetViews>
  <sheetFormatPr defaultRowHeight="14.4" x14ac:dyDescent="0.3"/>
  <cols>
    <col min="1" max="1" width="18.5546875" customWidth="1"/>
    <col min="2" max="2" width="16.6640625" customWidth="1"/>
    <col min="3" max="3" width="22" customWidth="1"/>
    <col min="4" max="4" width="13.77734375" customWidth="1"/>
  </cols>
  <sheetData>
    <row r="1" spans="1:5" ht="24" thickBot="1" x14ac:dyDescent="0.5">
      <c r="A1" s="93" t="s">
        <v>352</v>
      </c>
      <c r="B1" s="94"/>
      <c r="C1" s="94"/>
      <c r="D1" s="94"/>
      <c r="E1" s="95"/>
    </row>
    <row r="2" spans="1:5" ht="15" thickBot="1" x14ac:dyDescent="0.35"/>
    <row r="3" spans="1:5" ht="16.2" thickBot="1" x14ac:dyDescent="0.35">
      <c r="A3" s="56" t="s">
        <v>353</v>
      </c>
      <c r="B3" s="57" t="s">
        <v>354</v>
      </c>
      <c r="C3" s="90" t="s">
        <v>355</v>
      </c>
    </row>
    <row r="4" spans="1:5" x14ac:dyDescent="0.3">
      <c r="A4" s="87">
        <f>DATE(2026,1,1)</f>
        <v>46023</v>
      </c>
      <c r="B4" s="92">
        <f>SUMIFS(Sales_Data!$G$2:$G$251,Sales_Data!$K$2:$K$251,"&gt;="&amp;A4,Sales_Data!$K$2:$K$251,"&lt;"&amp;EDATE(A4,1))</f>
        <v>1326612</v>
      </c>
      <c r="C4" s="91">
        <f>(B5-B4)/B4</f>
        <v>-0.16850744603546478</v>
      </c>
    </row>
    <row r="5" spans="1:5" x14ac:dyDescent="0.3">
      <c r="A5" s="88">
        <f>EDATE(A4,1)</f>
        <v>46054</v>
      </c>
      <c r="B5" s="51">
        <f>SUMIFS(Sales_Data!$G$2:$G$251,Sales_Data!$K$2:$K$251,"&gt;="&amp;A5,Sales_Data!$K$2:$K$251,"&lt;"&amp;EDATE(A5,1))</f>
        <v>1103068</v>
      </c>
      <c r="C5" s="45">
        <f t="shared" ref="C5:C12" si="0">(B6-B5)/B5</f>
        <v>0.1890835379142537</v>
      </c>
    </row>
    <row r="6" spans="1:5" x14ac:dyDescent="0.3">
      <c r="A6" s="88">
        <f t="shared" ref="A6:A12" si="1">EDATE(A5,1)</f>
        <v>46082</v>
      </c>
      <c r="B6" s="51">
        <f>SUMIFS(Sales_Data!$G$2:$G$251,Sales_Data!$K$2:$K$251,"&gt;="&amp;A6,Sales_Data!$K$2:$K$251,"&lt;"&amp;EDATE(A6,1))</f>
        <v>1311640</v>
      </c>
      <c r="C6" s="45">
        <f t="shared" si="0"/>
        <v>0.21710606568875607</v>
      </c>
    </row>
    <row r="7" spans="1:5" x14ac:dyDescent="0.3">
      <c r="A7" s="88">
        <f t="shared" si="1"/>
        <v>46113</v>
      </c>
      <c r="B7" s="51">
        <f>SUMIFS(Sales_Data!$G$2:$G$251,Sales_Data!$K$2:$K$251,"&gt;="&amp;A7,Sales_Data!$K$2:$K$251,"&lt;"&amp;EDATE(A7,1))</f>
        <v>1596405</v>
      </c>
      <c r="C7" s="45">
        <f t="shared" si="0"/>
        <v>-0.30783040644447995</v>
      </c>
    </row>
    <row r="8" spans="1:5" x14ac:dyDescent="0.3">
      <c r="A8" s="88">
        <f t="shared" si="1"/>
        <v>46143</v>
      </c>
      <c r="B8" s="51">
        <f>SUMIFS(Sales_Data!$G$2:$G$251,Sales_Data!$K$2:$K$251,"&gt;="&amp;A8,Sales_Data!$K$2:$K$251,"&lt;"&amp;EDATE(A8,1))</f>
        <v>1104983</v>
      </c>
      <c r="C8" s="45">
        <f t="shared" si="0"/>
        <v>0.19351428936010781</v>
      </c>
    </row>
    <row r="9" spans="1:5" x14ac:dyDescent="0.3">
      <c r="A9" s="88">
        <f t="shared" si="1"/>
        <v>46174</v>
      </c>
      <c r="B9" s="51">
        <f>SUMIFS(Sales_Data!$G$2:$G$251,Sales_Data!$K$2:$K$251,"&gt;="&amp;A9,Sales_Data!$K$2:$K$251,"&lt;"&amp;EDATE(A9,1))</f>
        <v>1318813</v>
      </c>
      <c r="C9" s="45">
        <f t="shared" si="0"/>
        <v>0.21219308575211193</v>
      </c>
    </row>
    <row r="10" spans="1:5" x14ac:dyDescent="0.3">
      <c r="A10" s="88">
        <f t="shared" si="1"/>
        <v>46204</v>
      </c>
      <c r="B10" s="51">
        <f>SUMIFS(Sales_Data!$G$2:$G$251,Sales_Data!$K$2:$K$251,"&gt;="&amp;A10,Sales_Data!$K$2:$K$251,"&lt;"&amp;EDATE(A10,1))</f>
        <v>1598656</v>
      </c>
      <c r="C10" s="45">
        <f t="shared" si="0"/>
        <v>0.36926330617718883</v>
      </c>
    </row>
    <row r="11" spans="1:5" x14ac:dyDescent="0.3">
      <c r="A11" s="88">
        <f t="shared" si="1"/>
        <v>46235</v>
      </c>
      <c r="B11" s="51">
        <f>SUMIFS(Sales_Data!$G$2:$G$251,Sales_Data!$K$2:$K$251,"&gt;="&amp;A11,Sales_Data!$K$2:$K$251,"&lt;"&amp;EDATE(A11,1))</f>
        <v>2188981</v>
      </c>
      <c r="C11" s="45">
        <f t="shared" si="0"/>
        <v>-0.7403344295816181</v>
      </c>
    </row>
    <row r="12" spans="1:5" ht="15" thickBot="1" x14ac:dyDescent="0.35">
      <c r="A12" s="89">
        <f t="shared" si="1"/>
        <v>46266</v>
      </c>
      <c r="B12" s="52">
        <f>SUMIFS(Sales_Data!$G$2:$G$251,Sales_Data!$K$2:$K$251,"&gt;="&amp;A12,Sales_Data!$K$2:$K$251,"&lt;"&amp;EDATE(A12,1))</f>
        <v>568403</v>
      </c>
      <c r="C12" s="47">
        <f t="shared" si="0"/>
        <v>-1</v>
      </c>
    </row>
    <row r="13" spans="1:5" x14ac:dyDescent="0.3">
      <c r="A13" s="85"/>
    </row>
    <row r="14" spans="1:5" x14ac:dyDescent="0.3">
      <c r="A14" s="85"/>
    </row>
    <row r="15" spans="1:5" x14ac:dyDescent="0.3">
      <c r="A15" s="85"/>
    </row>
    <row r="16" spans="1:5" x14ac:dyDescent="0.3">
      <c r="A16" s="85"/>
    </row>
    <row r="17" spans="1:1" x14ac:dyDescent="0.3">
      <c r="A17" s="85"/>
    </row>
    <row r="18" spans="1:1" x14ac:dyDescent="0.3">
      <c r="A18" s="85"/>
    </row>
    <row r="19" spans="1:1" x14ac:dyDescent="0.3">
      <c r="A19" s="85"/>
    </row>
    <row r="20" spans="1:1" x14ac:dyDescent="0.3">
      <c r="A20" s="85"/>
    </row>
  </sheetData>
  <mergeCells count="1">
    <mergeCell ref="A1:E1"/>
  </mergeCells>
  <conditionalFormatting sqref="C4:C12">
    <cfRule type="iconSet" priority="1">
      <iconSet iconSet="3Arrows">
        <cfvo type="percent" val="0"/>
        <cfvo type="num" val="0"/>
        <cfvo type="num" val="0"/>
      </iconSet>
    </cfRule>
    <cfRule type="iconSet" priority="5">
      <iconSet iconSet="3Arrows">
        <cfvo type="percent" val="0"/>
        <cfvo type="num" val="0"/>
        <cfvo type="num" val="0"/>
      </iconSet>
    </cfRule>
    <cfRule type="iconSet" priority="7">
      <iconSet iconSet="3ArrowsGray">
        <cfvo type="percent" val="0"/>
        <cfvo type="percent" val="33"/>
        <cfvo type="percent" val="$G$10"/>
      </iconSet>
    </cfRule>
    <cfRule type="iconSet" priority="10">
      <iconSet iconSet="3ArrowsGray" showValue="0">
        <cfvo type="percent" val="0"/>
        <cfvo type="percent" val="&quot;0+$C$5&quot;"/>
        <cfvo type="percent" val="&quot;0+$C$5&quot;"/>
      </iconSet>
    </cfRule>
  </conditionalFormatting>
  <conditionalFormatting sqref="B4:B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{16D0148E-A43D-442E-BEBC-3D677B3F6B8C}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D0148E-A43D-442E-BEBC-3D677B3F6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E5A6-A605-4EB3-9666-6A166F5DB123}">
  <dimension ref="A1:E19"/>
  <sheetViews>
    <sheetView zoomScale="109" workbookViewId="0">
      <selection activeCell="J19" sqref="J19"/>
    </sheetView>
  </sheetViews>
  <sheetFormatPr defaultRowHeight="14.4" x14ac:dyDescent="0.3"/>
  <cols>
    <col min="1" max="1" width="11.44140625" customWidth="1"/>
    <col min="2" max="2" width="17.109375" customWidth="1"/>
    <col min="3" max="3" width="15.88671875" customWidth="1"/>
    <col min="4" max="4" width="14.5546875" customWidth="1"/>
  </cols>
  <sheetData>
    <row r="1" spans="1:5" ht="24" thickBot="1" x14ac:dyDescent="0.5">
      <c r="A1" s="93" t="s">
        <v>356</v>
      </c>
      <c r="B1" s="94"/>
      <c r="C1" s="94"/>
      <c r="D1" s="94"/>
      <c r="E1" s="95"/>
    </row>
    <row r="2" spans="1:5" ht="15" thickBot="1" x14ac:dyDescent="0.35"/>
    <row r="3" spans="1:5" ht="17.399999999999999" customHeight="1" thickBot="1" x14ac:dyDescent="0.35">
      <c r="A3" s="90" t="s">
        <v>358</v>
      </c>
      <c r="B3" s="57" t="s">
        <v>349</v>
      </c>
      <c r="C3" s="90" t="s">
        <v>350</v>
      </c>
      <c r="D3" s="114" t="s">
        <v>3</v>
      </c>
    </row>
    <row r="4" spans="1:5" x14ac:dyDescent="0.3">
      <c r="A4" s="45"/>
      <c r="B4" s="46"/>
      <c r="C4" s="45"/>
      <c r="D4" s="41"/>
    </row>
    <row r="5" spans="1:5" x14ac:dyDescent="0.3">
      <c r="A5" s="45">
        <v>1</v>
      </c>
      <c r="B5" s="46" t="str" cm="1">
        <f t="array" ref="B5:B14">_xlfn.LET(
_xlpm.customers,_xlfn.UNIQUE(Sales_Data!C2:C251),
_xlpm.purchase,SUMIF(Sales_Data!C2:C251,_xlpm.customers,Sales_Data!G2:G251),
_xlfn.TAKE(_xlfn.SORTBY(_xlpm.customers,_xlpm.purchase,-1),10)
)</f>
        <v>Jay</v>
      </c>
      <c r="C5" s="121">
        <f>SUMIF(Sales_Data!$C$2:$C$251,B5,Sales_Data!$G$2:$G$251)</f>
        <v>1393310</v>
      </c>
      <c r="D5" s="41" t="str">
        <f>_xlfn.XLOOKUP(B5,Sales_Data!$C$2:$C$251,Sales_Data!$D$2:$D$251)</f>
        <v>North</v>
      </c>
    </row>
    <row r="6" spans="1:5" x14ac:dyDescent="0.3">
      <c r="A6" s="45">
        <v>2</v>
      </c>
      <c r="B6" s="46" t="str">
        <v>Arjun</v>
      </c>
      <c r="C6" s="121">
        <f>SUMIF(Sales_Data!$C$2:$C$251,B6,Sales_Data!$G$2:$G$251)</f>
        <v>1202281</v>
      </c>
      <c r="D6" s="41" t="str">
        <f>_xlfn.XLOOKUP(B6,Sales_Data!$C$2:$C$251,Sales_Data!$D$2:$D$251)</f>
        <v>West</v>
      </c>
    </row>
    <row r="7" spans="1:5" x14ac:dyDescent="0.3">
      <c r="A7" s="45">
        <v>3</v>
      </c>
      <c r="B7" s="46" t="str">
        <v>Vivek</v>
      </c>
      <c r="C7" s="121">
        <f>SUMIF(Sales_Data!$C$2:$C$251,B7,Sales_Data!$G$2:$G$251)</f>
        <v>1015197</v>
      </c>
      <c r="D7" s="41" t="str">
        <f>_xlfn.XLOOKUP(B7,Sales_Data!$C$2:$C$251,Sales_Data!$D$2:$D$251)</f>
        <v>West</v>
      </c>
    </row>
    <row r="8" spans="1:5" x14ac:dyDescent="0.3">
      <c r="A8" s="45">
        <v>4</v>
      </c>
      <c r="B8" s="46" t="str">
        <v>Riya</v>
      </c>
      <c r="C8" s="121">
        <f>SUMIF(Sales_Data!$C$2:$C$251,B8,Sales_Data!$G$2:$G$251)</f>
        <v>1013143</v>
      </c>
      <c r="D8" s="41" t="str">
        <f>_xlfn.XLOOKUP(B8,Sales_Data!$C$2:$C$251,Sales_Data!$D$2:$D$251)</f>
        <v>East</v>
      </c>
    </row>
    <row r="9" spans="1:5" x14ac:dyDescent="0.3">
      <c r="A9" s="45">
        <v>5</v>
      </c>
      <c r="B9" s="46" t="str">
        <v>Rohan</v>
      </c>
      <c r="C9" s="121">
        <f>SUMIF(Sales_Data!$C$2:$C$251,B9,Sales_Data!$G$2:$G$251)</f>
        <v>980219</v>
      </c>
      <c r="D9" s="41" t="str">
        <f>_xlfn.XLOOKUP(B9,Sales_Data!$C$2:$C$251,Sales_Data!$D$2:$D$251)</f>
        <v>West</v>
      </c>
    </row>
    <row r="10" spans="1:5" x14ac:dyDescent="0.3">
      <c r="A10" s="45">
        <v>6</v>
      </c>
      <c r="B10" s="46" t="str">
        <v>Kavya</v>
      </c>
      <c r="C10" s="121">
        <f>SUMIF(Sales_Data!$C$2:$C$251,B10,Sales_Data!$G$2:$G$251)</f>
        <v>885563</v>
      </c>
      <c r="D10" s="41" t="str">
        <f>_xlfn.XLOOKUP(B10,Sales_Data!$C$2:$C$251,Sales_Data!$D$2:$D$251)</f>
        <v>North</v>
      </c>
    </row>
    <row r="11" spans="1:5" x14ac:dyDescent="0.3">
      <c r="A11" s="45">
        <v>7</v>
      </c>
      <c r="B11" s="46" t="str">
        <v>Rahul</v>
      </c>
      <c r="C11" s="121">
        <f>SUMIF(Sales_Data!$C$2:$C$251,B11,Sales_Data!$G$2:$G$251)</f>
        <v>875459</v>
      </c>
      <c r="D11" s="41" t="str">
        <f>_xlfn.XLOOKUP(B11,Sales_Data!$C$2:$C$251,Sales_Data!$D$2:$D$251)</f>
        <v>East</v>
      </c>
    </row>
    <row r="12" spans="1:5" x14ac:dyDescent="0.3">
      <c r="A12" s="45">
        <v>8</v>
      </c>
      <c r="B12" s="46" t="str">
        <v>Dev</v>
      </c>
      <c r="C12" s="121">
        <f>SUMIF(Sales_Data!$C$2:$C$251,B12,Sales_Data!$G$2:$G$251)</f>
        <v>861185</v>
      </c>
      <c r="D12" s="41" t="str">
        <f>_xlfn.XLOOKUP(B12,Sales_Data!$C$2:$C$251,Sales_Data!$D$2:$D$251)</f>
        <v>West</v>
      </c>
    </row>
    <row r="13" spans="1:5" x14ac:dyDescent="0.3">
      <c r="A13" s="45">
        <v>9</v>
      </c>
      <c r="B13" s="46" t="str">
        <v>Meera</v>
      </c>
      <c r="C13" s="121">
        <f>SUMIF(Sales_Data!$C$2:$C$251,B13,Sales_Data!$G$2:$G$251)</f>
        <v>790274</v>
      </c>
      <c r="D13" s="41" t="str">
        <f>_xlfn.XLOOKUP(B13,Sales_Data!$C$2:$C$251,Sales_Data!$D$2:$D$251)</f>
        <v>North</v>
      </c>
    </row>
    <row r="14" spans="1:5" ht="15" thickBot="1" x14ac:dyDescent="0.35">
      <c r="A14" s="47">
        <v>10</v>
      </c>
      <c r="B14" s="48" t="str">
        <v>Priya</v>
      </c>
      <c r="C14" s="122">
        <f>SUMIF(Sales_Data!$C$2:$C$251,B14,Sales_Data!$G$2:$G$251)</f>
        <v>735182</v>
      </c>
      <c r="D14" s="42" t="str">
        <f>_xlfn.XLOOKUP(B14,Sales_Data!$C$2:$C$251,Sales_Data!$D$2:$D$251)</f>
        <v>West</v>
      </c>
    </row>
    <row r="15" spans="1:5" x14ac:dyDescent="0.3">
      <c r="A15" s="46"/>
      <c r="B15" s="46"/>
      <c r="C15" s="46"/>
      <c r="D15" s="46"/>
    </row>
    <row r="16" spans="1:5" x14ac:dyDescent="0.3">
      <c r="A16" s="119" t="s">
        <v>360</v>
      </c>
      <c r="B16" s="119"/>
      <c r="C16" s="119"/>
    </row>
    <row r="17" spans="1:3" ht="15" thickBot="1" x14ac:dyDescent="0.35"/>
    <row r="18" spans="1:3" ht="15" thickBot="1" x14ac:dyDescent="0.35">
      <c r="A18" s="115" t="s">
        <v>359</v>
      </c>
      <c r="B18" s="116"/>
      <c r="C18" s="123">
        <f>AVERAGE(C4:C13)</f>
        <v>1001847.8888888889</v>
      </c>
    </row>
    <row r="19" spans="1:3" ht="15" thickBot="1" x14ac:dyDescent="0.35">
      <c r="A19" s="117" t="s">
        <v>324</v>
      </c>
      <c r="B19" s="118"/>
      <c r="C19" s="40">
        <f>COUNTIF(C4:C13,"&gt;"&amp;AVERAGE(C4:C13))</f>
        <v>4</v>
      </c>
    </row>
  </sheetData>
  <mergeCells count="3">
    <mergeCell ref="A1:E1"/>
    <mergeCell ref="A18:B18"/>
    <mergeCell ref="A19:B19"/>
  </mergeCells>
  <conditionalFormatting sqref="C5:C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520E-A40B-47D3-B030-4DB2AC9BF63E}">
  <dimension ref="A1:Q8"/>
  <sheetViews>
    <sheetView zoomScale="65" zoomScaleNormal="160" workbookViewId="0">
      <selection activeCell="J30" sqref="J30"/>
    </sheetView>
  </sheetViews>
  <sheetFormatPr defaultRowHeight="14.4" x14ac:dyDescent="0.3"/>
  <cols>
    <col min="1" max="1" width="16" customWidth="1"/>
    <col min="2" max="2" width="20.44140625" customWidth="1"/>
    <col min="3" max="3" width="18.109375" customWidth="1"/>
    <col min="4" max="4" width="17.77734375" customWidth="1"/>
    <col min="5" max="5" width="18" customWidth="1"/>
    <col min="6" max="7" width="17" customWidth="1"/>
    <col min="8" max="8" width="15.88671875" customWidth="1"/>
    <col min="9" max="9" width="16" customWidth="1"/>
    <col min="10" max="10" width="15.77734375" customWidth="1"/>
    <col min="11" max="11" width="20.109375" customWidth="1"/>
    <col min="12" max="12" width="14.88671875" customWidth="1"/>
    <col min="13" max="13" width="15.77734375" customWidth="1"/>
    <col min="14" max="14" width="15.88671875" customWidth="1"/>
    <col min="15" max="15" width="12.77734375" bestFit="1" customWidth="1"/>
    <col min="16" max="16" width="19.88671875" customWidth="1"/>
    <col min="17" max="17" width="17.6640625" bestFit="1" customWidth="1"/>
  </cols>
  <sheetData>
    <row r="1" spans="1:17" ht="15" thickBot="1" x14ac:dyDescent="0.35">
      <c r="A1" s="39"/>
      <c r="B1" s="124" t="s">
        <v>364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44"/>
      <c r="B2" s="91" t="s">
        <v>43</v>
      </c>
      <c r="C2" s="113"/>
      <c r="D2" s="91" t="s">
        <v>21</v>
      </c>
      <c r="E2" s="113"/>
      <c r="F2" s="91" t="s">
        <v>16</v>
      </c>
      <c r="G2" s="113"/>
      <c r="H2" s="91" t="s">
        <v>45</v>
      </c>
      <c r="I2" s="113"/>
      <c r="J2" s="91" t="s">
        <v>61</v>
      </c>
      <c r="K2" s="113"/>
      <c r="L2" s="91" t="s">
        <v>63</v>
      </c>
      <c r="M2" s="113"/>
      <c r="N2" s="91" t="s">
        <v>34</v>
      </c>
      <c r="O2" s="113"/>
      <c r="P2" s="91" t="s">
        <v>365</v>
      </c>
      <c r="Q2" s="91" t="s">
        <v>366</v>
      </c>
    </row>
    <row r="3" spans="1:17" ht="15" thickBot="1" x14ac:dyDescent="0.35">
      <c r="A3" s="126" t="s">
        <v>361</v>
      </c>
      <c r="B3" s="47" t="s">
        <v>363</v>
      </c>
      <c r="C3" s="48" t="s">
        <v>367</v>
      </c>
      <c r="D3" s="47" t="s">
        <v>363</v>
      </c>
      <c r="E3" s="48" t="s">
        <v>367</v>
      </c>
      <c r="F3" s="47" t="s">
        <v>363</v>
      </c>
      <c r="G3" s="48" t="s">
        <v>367</v>
      </c>
      <c r="H3" s="47" t="s">
        <v>363</v>
      </c>
      <c r="I3" s="48" t="s">
        <v>367</v>
      </c>
      <c r="J3" s="47" t="s">
        <v>363</v>
      </c>
      <c r="K3" s="48" t="s">
        <v>367</v>
      </c>
      <c r="L3" s="47" t="s">
        <v>363</v>
      </c>
      <c r="M3" s="48" t="s">
        <v>367</v>
      </c>
      <c r="N3" s="47" t="s">
        <v>363</v>
      </c>
      <c r="O3" s="48" t="s">
        <v>367</v>
      </c>
      <c r="P3" s="47"/>
      <c r="Q3" s="47"/>
    </row>
    <row r="4" spans="1:17" x14ac:dyDescent="0.3">
      <c r="A4" s="39" t="s">
        <v>29</v>
      </c>
      <c r="B4" s="121">
        <v>411805</v>
      </c>
      <c r="C4" s="125">
        <v>411805</v>
      </c>
      <c r="D4" s="121">
        <v>364400</v>
      </c>
      <c r="E4" s="125">
        <v>364400</v>
      </c>
      <c r="F4" s="121">
        <v>477709</v>
      </c>
      <c r="G4" s="125">
        <v>477709</v>
      </c>
      <c r="H4" s="121">
        <v>206776</v>
      </c>
      <c r="I4" s="125">
        <v>206776</v>
      </c>
      <c r="J4" s="121">
        <v>465474</v>
      </c>
      <c r="K4" s="125">
        <v>465474</v>
      </c>
      <c r="L4" s="121">
        <v>418610</v>
      </c>
      <c r="M4" s="125">
        <v>418610</v>
      </c>
      <c r="N4" s="121">
        <v>765125</v>
      </c>
      <c r="O4" s="125">
        <v>765125</v>
      </c>
      <c r="P4" s="121">
        <v>3109899</v>
      </c>
      <c r="Q4" s="121">
        <v>3109899</v>
      </c>
    </row>
    <row r="5" spans="1:17" x14ac:dyDescent="0.3">
      <c r="A5" s="39" t="s">
        <v>33</v>
      </c>
      <c r="B5" s="121">
        <v>772409</v>
      </c>
      <c r="C5" s="125">
        <v>772409</v>
      </c>
      <c r="D5" s="121">
        <v>621174</v>
      </c>
      <c r="E5" s="125">
        <v>621174</v>
      </c>
      <c r="F5" s="121">
        <v>462328</v>
      </c>
      <c r="G5" s="125">
        <v>462328</v>
      </c>
      <c r="H5" s="121">
        <v>425728</v>
      </c>
      <c r="I5" s="125">
        <v>425728</v>
      </c>
      <c r="J5" s="121">
        <v>459829</v>
      </c>
      <c r="K5" s="125">
        <v>459829</v>
      </c>
      <c r="L5" s="121">
        <v>171692</v>
      </c>
      <c r="M5" s="125">
        <v>171692</v>
      </c>
      <c r="N5" s="121">
        <v>259895</v>
      </c>
      <c r="O5" s="125">
        <v>259895</v>
      </c>
      <c r="P5" s="121">
        <v>3173055</v>
      </c>
      <c r="Q5" s="121">
        <v>3173055</v>
      </c>
    </row>
    <row r="6" spans="1:17" x14ac:dyDescent="0.3">
      <c r="A6" s="39" t="s">
        <v>57</v>
      </c>
      <c r="B6" s="121">
        <v>633986</v>
      </c>
      <c r="C6" s="125">
        <v>633986</v>
      </c>
      <c r="D6" s="121">
        <v>407872</v>
      </c>
      <c r="E6" s="125">
        <v>407872</v>
      </c>
      <c r="F6" s="121">
        <v>311823</v>
      </c>
      <c r="G6" s="125">
        <v>311823</v>
      </c>
      <c r="H6" s="121">
        <v>531009</v>
      </c>
      <c r="I6" s="125">
        <v>531009</v>
      </c>
      <c r="J6" s="121">
        <v>621677</v>
      </c>
      <c r="K6" s="125">
        <v>621677</v>
      </c>
      <c r="L6" s="121">
        <v>479061</v>
      </c>
      <c r="M6" s="125">
        <v>479061</v>
      </c>
      <c r="N6" s="121">
        <v>242195</v>
      </c>
      <c r="O6" s="125">
        <v>242195</v>
      </c>
      <c r="P6" s="121">
        <v>3227623</v>
      </c>
      <c r="Q6" s="121">
        <v>3227623</v>
      </c>
    </row>
    <row r="7" spans="1:17" ht="15" thickBot="1" x14ac:dyDescent="0.35">
      <c r="A7" s="39" t="s">
        <v>15</v>
      </c>
      <c r="B7" s="121">
        <v>428373</v>
      </c>
      <c r="C7" s="125">
        <v>428373</v>
      </c>
      <c r="D7" s="121">
        <v>598822</v>
      </c>
      <c r="E7" s="125">
        <v>598822</v>
      </c>
      <c r="F7" s="121">
        <v>284417</v>
      </c>
      <c r="G7" s="125">
        <v>284417</v>
      </c>
      <c r="H7" s="121">
        <v>291187</v>
      </c>
      <c r="I7" s="125">
        <v>291187</v>
      </c>
      <c r="J7" s="121">
        <v>343668</v>
      </c>
      <c r="K7" s="125">
        <v>343668</v>
      </c>
      <c r="L7" s="121">
        <v>425052</v>
      </c>
      <c r="M7" s="125">
        <v>425052</v>
      </c>
      <c r="N7" s="121">
        <v>235465</v>
      </c>
      <c r="O7" s="125">
        <v>235465</v>
      </c>
      <c r="P7" s="121">
        <v>2606984</v>
      </c>
      <c r="Q7" s="121">
        <v>2606984</v>
      </c>
    </row>
    <row r="8" spans="1:17" ht="20.399999999999999" customHeight="1" thickBot="1" x14ac:dyDescent="0.35">
      <c r="A8" s="86" t="s">
        <v>362</v>
      </c>
      <c r="B8" s="59">
        <v>2246573</v>
      </c>
      <c r="C8" s="127">
        <v>2246573</v>
      </c>
      <c r="D8" s="59">
        <v>1992268</v>
      </c>
      <c r="E8" s="127">
        <v>1992268</v>
      </c>
      <c r="F8" s="59">
        <v>1536277</v>
      </c>
      <c r="G8" s="127">
        <v>1536277</v>
      </c>
      <c r="H8" s="59">
        <v>1454700</v>
      </c>
      <c r="I8" s="127">
        <v>1454700</v>
      </c>
      <c r="J8" s="59">
        <v>1890648</v>
      </c>
      <c r="K8" s="127">
        <v>1890648</v>
      </c>
      <c r="L8" s="59">
        <v>1494415</v>
      </c>
      <c r="M8" s="127">
        <v>1494415</v>
      </c>
      <c r="N8" s="59">
        <v>1502680</v>
      </c>
      <c r="O8" s="127">
        <v>1502680</v>
      </c>
      <c r="P8" s="59">
        <v>12117561</v>
      </c>
      <c r="Q8" s="59">
        <v>12117561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E595-F1B9-4E9F-8B62-403105B79057}">
  <dimension ref="A1:D1"/>
  <sheetViews>
    <sheetView tabSelected="1" zoomScale="50" workbookViewId="0">
      <selection activeCell="AD48" sqref="AD48"/>
    </sheetView>
  </sheetViews>
  <sheetFormatPr defaultRowHeight="14.4" x14ac:dyDescent="0.3"/>
  <sheetData>
    <row r="1" spans="1:4" ht="31.2" x14ac:dyDescent="0.6">
      <c r="A1" s="120" t="s">
        <v>368</v>
      </c>
      <c r="B1" s="120"/>
      <c r="C1" s="120"/>
      <c r="D1" s="120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Sales_Data</vt:lpstr>
      <vt:lpstr>Analysis</vt:lpstr>
      <vt:lpstr>Descriptive_Stats</vt:lpstr>
      <vt:lpstr>Regression</vt:lpstr>
      <vt:lpstr>Monthly_Sales</vt:lpstr>
      <vt:lpstr>Top Customer</vt:lpstr>
      <vt:lpstr>Pivot Table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krinaghori2009@hotmail.com</cp:lastModifiedBy>
  <dcterms:created xsi:type="dcterms:W3CDTF">2026-09-08T15:44:32Z</dcterms:created>
  <dcterms:modified xsi:type="dcterms:W3CDTF">2026-09-12T18:25:31Z</dcterms:modified>
</cp:coreProperties>
</file>