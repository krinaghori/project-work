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I-ML &amp; DATA SCIENCE\EXCEL\PRACTICAL EXAM\"/>
    </mc:Choice>
  </mc:AlternateContent>
  <xr:revisionPtr revIDLastSave="0" documentId="13_ncr:1_{82FFD9A1-2CF9-40AD-B251-E87325A826F2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Dataset" sheetId="1" r:id="rId1"/>
    <sheet name="KPI" sheetId="2" r:id="rId2"/>
    <sheet name="HIGH-PERFORMING STUDENTS" sheetId="3" r:id="rId3"/>
    <sheet name="ANALYSIS" sheetId="4" r:id="rId4"/>
    <sheet name="PIVOT TABLE" sheetId="5" r:id="rId5"/>
    <sheet name="CHAR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9" i="5" l="1"/>
  <c r="W249" i="5"/>
  <c r="U249" i="5"/>
  <c r="T249" i="5"/>
  <c r="X248" i="5"/>
  <c r="W248" i="5"/>
  <c r="U248" i="5"/>
  <c r="T248" i="5"/>
  <c r="X247" i="5"/>
  <c r="W247" i="5"/>
  <c r="U247" i="5"/>
  <c r="T247" i="5"/>
  <c r="X246" i="5"/>
  <c r="W246" i="5"/>
  <c r="U246" i="5"/>
  <c r="T246" i="5"/>
  <c r="X245" i="5"/>
  <c r="W245" i="5"/>
  <c r="U245" i="5"/>
  <c r="T245" i="5"/>
  <c r="X244" i="5"/>
  <c r="W244" i="5"/>
  <c r="U244" i="5"/>
  <c r="T244" i="5"/>
  <c r="X243" i="5"/>
  <c r="W243" i="5"/>
  <c r="U243" i="5"/>
  <c r="T243" i="5"/>
  <c r="X242" i="5"/>
  <c r="W242" i="5"/>
  <c r="U242" i="5"/>
  <c r="T242" i="5"/>
  <c r="X241" i="5"/>
  <c r="W241" i="5"/>
  <c r="U241" i="5"/>
  <c r="T241" i="5"/>
  <c r="X240" i="5"/>
  <c r="W240" i="5"/>
  <c r="U240" i="5"/>
  <c r="T240" i="5"/>
  <c r="X239" i="5"/>
  <c r="W239" i="5"/>
  <c r="U239" i="5"/>
  <c r="T239" i="5"/>
  <c r="X238" i="5"/>
  <c r="W238" i="5"/>
  <c r="U238" i="5"/>
  <c r="T238" i="5"/>
  <c r="X237" i="5"/>
  <c r="W237" i="5"/>
  <c r="U237" i="5"/>
  <c r="T237" i="5"/>
  <c r="X236" i="5"/>
  <c r="W236" i="5"/>
  <c r="U236" i="5"/>
  <c r="T236" i="5"/>
  <c r="X235" i="5"/>
  <c r="W235" i="5"/>
  <c r="U235" i="5"/>
  <c r="T235" i="5"/>
  <c r="X234" i="5"/>
  <c r="W234" i="5"/>
  <c r="U234" i="5"/>
  <c r="T234" i="5"/>
  <c r="X233" i="5"/>
  <c r="W233" i="5"/>
  <c r="U233" i="5"/>
  <c r="T233" i="5"/>
  <c r="X232" i="5"/>
  <c r="W232" i="5"/>
  <c r="U232" i="5"/>
  <c r="T232" i="5"/>
  <c r="X231" i="5"/>
  <c r="W231" i="5"/>
  <c r="U231" i="5"/>
  <c r="T231" i="5"/>
  <c r="X230" i="5"/>
  <c r="W230" i="5"/>
  <c r="U230" i="5"/>
  <c r="T230" i="5"/>
  <c r="X229" i="5"/>
  <c r="W229" i="5"/>
  <c r="U229" i="5"/>
  <c r="T229" i="5"/>
  <c r="X228" i="5"/>
  <c r="W228" i="5"/>
  <c r="U228" i="5"/>
  <c r="T228" i="5"/>
  <c r="X227" i="5"/>
  <c r="W227" i="5"/>
  <c r="U227" i="5"/>
  <c r="T227" i="5"/>
  <c r="X226" i="5"/>
  <c r="W226" i="5"/>
  <c r="U226" i="5"/>
  <c r="T226" i="5"/>
  <c r="X225" i="5"/>
  <c r="W225" i="5"/>
  <c r="U225" i="5"/>
  <c r="T225" i="5"/>
  <c r="X224" i="5"/>
  <c r="W224" i="5"/>
  <c r="U224" i="5"/>
  <c r="T224" i="5"/>
  <c r="X223" i="5"/>
  <c r="W223" i="5"/>
  <c r="U223" i="5"/>
  <c r="T223" i="5"/>
  <c r="X222" i="5"/>
  <c r="W222" i="5"/>
  <c r="U222" i="5"/>
  <c r="T222" i="5"/>
  <c r="X221" i="5"/>
  <c r="W221" i="5"/>
  <c r="U221" i="5"/>
  <c r="T221" i="5"/>
  <c r="X220" i="5"/>
  <c r="W220" i="5"/>
  <c r="U220" i="5"/>
  <c r="T220" i="5"/>
  <c r="X219" i="5"/>
  <c r="W219" i="5"/>
  <c r="U219" i="5"/>
  <c r="T219" i="5"/>
  <c r="X218" i="5"/>
  <c r="W218" i="5"/>
  <c r="U218" i="5"/>
  <c r="T218" i="5"/>
  <c r="X217" i="5"/>
  <c r="W217" i="5"/>
  <c r="U217" i="5"/>
  <c r="T217" i="5"/>
  <c r="X216" i="5"/>
  <c r="W216" i="5"/>
  <c r="U216" i="5"/>
  <c r="T216" i="5"/>
  <c r="X215" i="5"/>
  <c r="W215" i="5"/>
  <c r="U215" i="5"/>
  <c r="T215" i="5"/>
  <c r="X214" i="5"/>
  <c r="W214" i="5"/>
  <c r="U214" i="5"/>
  <c r="T214" i="5"/>
  <c r="X213" i="5"/>
  <c r="W213" i="5"/>
  <c r="U213" i="5"/>
  <c r="T213" i="5"/>
  <c r="X212" i="5"/>
  <c r="W212" i="5"/>
  <c r="U212" i="5"/>
  <c r="T212" i="5"/>
  <c r="X211" i="5"/>
  <c r="W211" i="5"/>
  <c r="U211" i="5"/>
  <c r="T211" i="5"/>
  <c r="X210" i="5"/>
  <c r="W210" i="5"/>
  <c r="U210" i="5"/>
  <c r="T210" i="5"/>
  <c r="X209" i="5"/>
  <c r="W209" i="5"/>
  <c r="U209" i="5"/>
  <c r="T209" i="5"/>
  <c r="X208" i="5"/>
  <c r="W208" i="5"/>
  <c r="U208" i="5"/>
  <c r="T208" i="5"/>
  <c r="X207" i="5"/>
  <c r="W207" i="5"/>
  <c r="U207" i="5"/>
  <c r="T207" i="5"/>
  <c r="X206" i="5"/>
  <c r="W206" i="5"/>
  <c r="U206" i="5"/>
  <c r="T206" i="5"/>
  <c r="X205" i="5"/>
  <c r="W205" i="5"/>
  <c r="U205" i="5"/>
  <c r="T205" i="5"/>
  <c r="X204" i="5"/>
  <c r="W204" i="5"/>
  <c r="U204" i="5"/>
  <c r="T204" i="5"/>
  <c r="X203" i="5"/>
  <c r="W203" i="5"/>
  <c r="U203" i="5"/>
  <c r="T203" i="5"/>
  <c r="X202" i="5"/>
  <c r="W202" i="5"/>
  <c r="U202" i="5"/>
  <c r="T202" i="5"/>
  <c r="X201" i="5"/>
  <c r="W201" i="5"/>
  <c r="U201" i="5"/>
  <c r="T201" i="5"/>
  <c r="X200" i="5"/>
  <c r="W200" i="5"/>
  <c r="U200" i="5"/>
  <c r="T200" i="5"/>
  <c r="X199" i="5"/>
  <c r="W199" i="5"/>
  <c r="U199" i="5"/>
  <c r="T199" i="5"/>
  <c r="X198" i="5"/>
  <c r="W198" i="5"/>
  <c r="U198" i="5"/>
  <c r="T198" i="5"/>
  <c r="X197" i="5"/>
  <c r="W197" i="5"/>
  <c r="U197" i="5"/>
  <c r="T197" i="5"/>
  <c r="X196" i="5"/>
  <c r="W196" i="5"/>
  <c r="U196" i="5"/>
  <c r="T196" i="5"/>
  <c r="X195" i="5"/>
  <c r="W195" i="5"/>
  <c r="U195" i="5"/>
  <c r="T195" i="5"/>
  <c r="X194" i="5"/>
  <c r="W194" i="5"/>
  <c r="U194" i="5"/>
  <c r="T194" i="5"/>
  <c r="X193" i="5"/>
  <c r="W193" i="5"/>
  <c r="U193" i="5"/>
  <c r="T193" i="5"/>
  <c r="X192" i="5"/>
  <c r="W192" i="5"/>
  <c r="U192" i="5"/>
  <c r="T192" i="5"/>
  <c r="X191" i="5"/>
  <c r="W191" i="5"/>
  <c r="U191" i="5"/>
  <c r="T191" i="5"/>
  <c r="X190" i="5"/>
  <c r="W190" i="5"/>
  <c r="U190" i="5"/>
  <c r="T190" i="5"/>
  <c r="X189" i="5"/>
  <c r="W189" i="5"/>
  <c r="U189" i="5"/>
  <c r="T189" i="5"/>
  <c r="X188" i="5"/>
  <c r="W188" i="5"/>
  <c r="U188" i="5"/>
  <c r="T188" i="5"/>
  <c r="X187" i="5"/>
  <c r="W187" i="5"/>
  <c r="U187" i="5"/>
  <c r="T187" i="5"/>
  <c r="X186" i="5"/>
  <c r="W186" i="5"/>
  <c r="U186" i="5"/>
  <c r="T186" i="5"/>
  <c r="X185" i="5"/>
  <c r="W185" i="5"/>
  <c r="U185" i="5"/>
  <c r="T185" i="5"/>
  <c r="X184" i="5"/>
  <c r="W184" i="5"/>
  <c r="U184" i="5"/>
  <c r="T184" i="5"/>
  <c r="X183" i="5"/>
  <c r="W183" i="5"/>
  <c r="U183" i="5"/>
  <c r="T183" i="5"/>
  <c r="X182" i="5"/>
  <c r="W182" i="5"/>
  <c r="U182" i="5"/>
  <c r="T182" i="5"/>
  <c r="X181" i="5"/>
  <c r="W181" i="5"/>
  <c r="U181" i="5"/>
  <c r="T181" i="5"/>
  <c r="X180" i="5"/>
  <c r="W180" i="5"/>
  <c r="U180" i="5"/>
  <c r="T180" i="5"/>
  <c r="X179" i="5"/>
  <c r="W179" i="5"/>
  <c r="U179" i="5"/>
  <c r="T179" i="5"/>
  <c r="X178" i="5"/>
  <c r="W178" i="5"/>
  <c r="U178" i="5"/>
  <c r="T178" i="5"/>
  <c r="X177" i="5"/>
  <c r="W177" i="5"/>
  <c r="U177" i="5"/>
  <c r="T177" i="5"/>
  <c r="X176" i="5"/>
  <c r="W176" i="5"/>
  <c r="U176" i="5"/>
  <c r="T176" i="5"/>
  <c r="X175" i="5"/>
  <c r="W175" i="5"/>
  <c r="U175" i="5"/>
  <c r="T175" i="5"/>
  <c r="X174" i="5"/>
  <c r="W174" i="5"/>
  <c r="U174" i="5"/>
  <c r="T174" i="5"/>
  <c r="X173" i="5"/>
  <c r="W173" i="5"/>
  <c r="U173" i="5"/>
  <c r="T173" i="5"/>
  <c r="X172" i="5"/>
  <c r="W172" i="5"/>
  <c r="U172" i="5"/>
  <c r="T172" i="5"/>
  <c r="X171" i="5"/>
  <c r="W171" i="5"/>
  <c r="U171" i="5"/>
  <c r="T171" i="5"/>
  <c r="X170" i="5"/>
  <c r="W170" i="5"/>
  <c r="U170" i="5"/>
  <c r="T170" i="5"/>
  <c r="X169" i="5"/>
  <c r="W169" i="5"/>
  <c r="U169" i="5"/>
  <c r="T169" i="5"/>
  <c r="X168" i="5"/>
  <c r="W168" i="5"/>
  <c r="U168" i="5"/>
  <c r="T168" i="5"/>
  <c r="X167" i="5"/>
  <c r="W167" i="5"/>
  <c r="U167" i="5"/>
  <c r="T167" i="5"/>
  <c r="X166" i="5"/>
  <c r="W166" i="5"/>
  <c r="U166" i="5"/>
  <c r="T166" i="5"/>
  <c r="X165" i="5"/>
  <c r="W165" i="5"/>
  <c r="U165" i="5"/>
  <c r="T165" i="5"/>
  <c r="X164" i="5"/>
  <c r="W164" i="5"/>
  <c r="U164" i="5"/>
  <c r="T164" i="5"/>
  <c r="X163" i="5"/>
  <c r="W163" i="5"/>
  <c r="U163" i="5"/>
  <c r="T163" i="5"/>
  <c r="X162" i="5"/>
  <c r="W162" i="5"/>
  <c r="U162" i="5"/>
  <c r="T162" i="5"/>
  <c r="X161" i="5"/>
  <c r="W161" i="5"/>
  <c r="U161" i="5"/>
  <c r="T161" i="5"/>
  <c r="X160" i="5"/>
  <c r="W160" i="5"/>
  <c r="U160" i="5"/>
  <c r="T160" i="5"/>
  <c r="X159" i="5"/>
  <c r="W159" i="5"/>
  <c r="U159" i="5"/>
  <c r="T159" i="5"/>
  <c r="X158" i="5"/>
  <c r="W158" i="5"/>
  <c r="U158" i="5"/>
  <c r="T158" i="5"/>
  <c r="X157" i="5"/>
  <c r="W157" i="5"/>
  <c r="U157" i="5"/>
  <c r="T157" i="5"/>
  <c r="X156" i="5"/>
  <c r="W156" i="5"/>
  <c r="U156" i="5"/>
  <c r="T156" i="5"/>
  <c r="X155" i="5"/>
  <c r="W155" i="5"/>
  <c r="U155" i="5"/>
  <c r="T155" i="5"/>
  <c r="X154" i="5"/>
  <c r="W154" i="5"/>
  <c r="U154" i="5"/>
  <c r="T154" i="5"/>
  <c r="X153" i="5"/>
  <c r="W153" i="5"/>
  <c r="U153" i="5"/>
  <c r="T153" i="5"/>
  <c r="X152" i="5"/>
  <c r="W152" i="5"/>
  <c r="U152" i="5"/>
  <c r="T152" i="5"/>
  <c r="X151" i="5"/>
  <c r="W151" i="5"/>
  <c r="U151" i="5"/>
  <c r="T151" i="5"/>
  <c r="X150" i="5"/>
  <c r="W150" i="5"/>
  <c r="U150" i="5"/>
  <c r="T150" i="5"/>
  <c r="X149" i="5"/>
  <c r="W149" i="5"/>
  <c r="U149" i="5"/>
  <c r="T149" i="5"/>
  <c r="X148" i="5"/>
  <c r="W148" i="5"/>
  <c r="U148" i="5"/>
  <c r="T148" i="5"/>
  <c r="X147" i="5"/>
  <c r="W147" i="5"/>
  <c r="U147" i="5"/>
  <c r="T147" i="5"/>
  <c r="X146" i="5"/>
  <c r="W146" i="5"/>
  <c r="U146" i="5"/>
  <c r="T146" i="5"/>
  <c r="X145" i="5"/>
  <c r="W145" i="5"/>
  <c r="U145" i="5"/>
  <c r="T145" i="5"/>
  <c r="X144" i="5"/>
  <c r="W144" i="5"/>
  <c r="U144" i="5"/>
  <c r="T144" i="5"/>
  <c r="X143" i="5"/>
  <c r="W143" i="5"/>
  <c r="U143" i="5"/>
  <c r="T143" i="5"/>
  <c r="X142" i="5"/>
  <c r="W142" i="5"/>
  <c r="U142" i="5"/>
  <c r="T142" i="5"/>
  <c r="X141" i="5"/>
  <c r="W141" i="5"/>
  <c r="U141" i="5"/>
  <c r="T141" i="5"/>
  <c r="X140" i="5"/>
  <c r="W140" i="5"/>
  <c r="U140" i="5"/>
  <c r="T140" i="5"/>
  <c r="X139" i="5"/>
  <c r="W139" i="5"/>
  <c r="U139" i="5"/>
  <c r="T139" i="5"/>
  <c r="X138" i="5"/>
  <c r="W138" i="5"/>
  <c r="U138" i="5"/>
  <c r="T138" i="5"/>
  <c r="X137" i="5"/>
  <c r="W137" i="5"/>
  <c r="U137" i="5"/>
  <c r="T137" i="5"/>
  <c r="X136" i="5"/>
  <c r="W136" i="5"/>
  <c r="U136" i="5"/>
  <c r="T136" i="5"/>
  <c r="X135" i="5"/>
  <c r="W135" i="5"/>
  <c r="U135" i="5"/>
  <c r="T135" i="5"/>
  <c r="X134" i="5"/>
  <c r="W134" i="5"/>
  <c r="U134" i="5"/>
  <c r="T134" i="5"/>
  <c r="X133" i="5"/>
  <c r="W133" i="5"/>
  <c r="U133" i="5"/>
  <c r="T133" i="5"/>
  <c r="X132" i="5"/>
  <c r="W132" i="5"/>
  <c r="U132" i="5"/>
  <c r="T132" i="5"/>
  <c r="X131" i="5"/>
  <c r="W131" i="5"/>
  <c r="U131" i="5"/>
  <c r="T131" i="5"/>
  <c r="X130" i="5"/>
  <c r="W130" i="5"/>
  <c r="U130" i="5"/>
  <c r="T130" i="5"/>
  <c r="X129" i="5"/>
  <c r="W129" i="5"/>
  <c r="U129" i="5"/>
  <c r="T129" i="5"/>
  <c r="X128" i="5"/>
  <c r="W128" i="5"/>
  <c r="U128" i="5"/>
  <c r="T128" i="5"/>
  <c r="X127" i="5"/>
  <c r="W127" i="5"/>
  <c r="U127" i="5"/>
  <c r="T127" i="5"/>
  <c r="X126" i="5"/>
  <c r="W126" i="5"/>
  <c r="U126" i="5"/>
  <c r="T126" i="5"/>
  <c r="X125" i="5"/>
  <c r="W125" i="5"/>
  <c r="U125" i="5"/>
  <c r="T125" i="5"/>
  <c r="X124" i="5"/>
  <c r="W124" i="5"/>
  <c r="U124" i="5"/>
  <c r="T124" i="5"/>
  <c r="X123" i="5"/>
  <c r="W123" i="5"/>
  <c r="U123" i="5"/>
  <c r="T123" i="5"/>
  <c r="X122" i="5"/>
  <c r="W122" i="5"/>
  <c r="U122" i="5"/>
  <c r="T122" i="5"/>
  <c r="X121" i="5"/>
  <c r="W121" i="5"/>
  <c r="U121" i="5"/>
  <c r="T121" i="5"/>
  <c r="X120" i="5"/>
  <c r="W120" i="5"/>
  <c r="U120" i="5"/>
  <c r="T120" i="5"/>
  <c r="X119" i="5"/>
  <c r="W119" i="5"/>
  <c r="U119" i="5"/>
  <c r="T119" i="5"/>
  <c r="X118" i="5"/>
  <c r="W118" i="5"/>
  <c r="U118" i="5"/>
  <c r="T118" i="5"/>
  <c r="X117" i="5"/>
  <c r="W117" i="5"/>
  <c r="U117" i="5"/>
  <c r="T117" i="5"/>
  <c r="X116" i="5"/>
  <c r="W116" i="5"/>
  <c r="U116" i="5"/>
  <c r="T116" i="5"/>
  <c r="X115" i="5"/>
  <c r="W115" i="5"/>
  <c r="U115" i="5"/>
  <c r="T115" i="5"/>
  <c r="X114" i="5"/>
  <c r="W114" i="5"/>
  <c r="U114" i="5"/>
  <c r="T114" i="5"/>
  <c r="X113" i="5"/>
  <c r="W113" i="5"/>
  <c r="U113" i="5"/>
  <c r="T113" i="5"/>
  <c r="X112" i="5"/>
  <c r="W112" i="5"/>
  <c r="U112" i="5"/>
  <c r="T112" i="5"/>
  <c r="X111" i="5"/>
  <c r="W111" i="5"/>
  <c r="U111" i="5"/>
  <c r="T111" i="5"/>
  <c r="X110" i="5"/>
  <c r="W110" i="5"/>
  <c r="U110" i="5"/>
  <c r="T110" i="5"/>
  <c r="X109" i="5"/>
  <c r="W109" i="5"/>
  <c r="U109" i="5"/>
  <c r="T109" i="5"/>
  <c r="X108" i="5"/>
  <c r="W108" i="5"/>
  <c r="U108" i="5"/>
  <c r="T108" i="5"/>
  <c r="X107" i="5"/>
  <c r="W107" i="5"/>
  <c r="U107" i="5"/>
  <c r="T107" i="5"/>
  <c r="X106" i="5"/>
  <c r="W106" i="5"/>
  <c r="U106" i="5"/>
  <c r="T106" i="5"/>
  <c r="X105" i="5"/>
  <c r="W105" i="5"/>
  <c r="U105" i="5"/>
  <c r="T105" i="5"/>
  <c r="X104" i="5"/>
  <c r="W104" i="5"/>
  <c r="U104" i="5"/>
  <c r="T104" i="5"/>
  <c r="X103" i="5"/>
  <c r="W103" i="5"/>
  <c r="U103" i="5"/>
  <c r="T103" i="5"/>
  <c r="X102" i="5"/>
  <c r="W102" i="5"/>
  <c r="U102" i="5"/>
  <c r="T102" i="5"/>
  <c r="X101" i="5"/>
  <c r="W101" i="5"/>
  <c r="U101" i="5"/>
  <c r="T101" i="5"/>
  <c r="X100" i="5"/>
  <c r="W100" i="5"/>
  <c r="U100" i="5"/>
  <c r="T100" i="5"/>
  <c r="X99" i="5"/>
  <c r="W99" i="5"/>
  <c r="U99" i="5"/>
  <c r="T99" i="5"/>
  <c r="X98" i="5"/>
  <c r="W98" i="5"/>
  <c r="U98" i="5"/>
  <c r="T98" i="5"/>
  <c r="X97" i="5"/>
  <c r="W97" i="5"/>
  <c r="U97" i="5"/>
  <c r="T97" i="5"/>
  <c r="X96" i="5"/>
  <c r="W96" i="5"/>
  <c r="U96" i="5"/>
  <c r="T96" i="5"/>
  <c r="X95" i="5"/>
  <c r="W95" i="5"/>
  <c r="U95" i="5"/>
  <c r="T95" i="5"/>
  <c r="X94" i="5"/>
  <c r="W94" i="5"/>
  <c r="U94" i="5"/>
  <c r="T94" i="5"/>
  <c r="X93" i="5"/>
  <c r="W93" i="5"/>
  <c r="U93" i="5"/>
  <c r="T93" i="5"/>
  <c r="X92" i="5"/>
  <c r="W92" i="5"/>
  <c r="U92" i="5"/>
  <c r="T92" i="5"/>
  <c r="X91" i="5"/>
  <c r="W91" i="5"/>
  <c r="U91" i="5"/>
  <c r="T91" i="5"/>
  <c r="X90" i="5"/>
  <c r="W90" i="5"/>
  <c r="U90" i="5"/>
  <c r="T90" i="5"/>
  <c r="X89" i="5"/>
  <c r="W89" i="5"/>
  <c r="U89" i="5"/>
  <c r="T89" i="5"/>
  <c r="X88" i="5"/>
  <c r="W88" i="5"/>
  <c r="U88" i="5"/>
  <c r="T88" i="5"/>
  <c r="X87" i="5"/>
  <c r="W87" i="5"/>
  <c r="U87" i="5"/>
  <c r="T87" i="5"/>
  <c r="X86" i="5"/>
  <c r="W86" i="5"/>
  <c r="U86" i="5"/>
  <c r="T86" i="5"/>
  <c r="X85" i="5"/>
  <c r="W85" i="5"/>
  <c r="U85" i="5"/>
  <c r="T85" i="5"/>
  <c r="X84" i="5"/>
  <c r="W84" i="5"/>
  <c r="U84" i="5"/>
  <c r="T84" i="5"/>
  <c r="X83" i="5"/>
  <c r="W83" i="5"/>
  <c r="U83" i="5"/>
  <c r="T83" i="5"/>
  <c r="X82" i="5"/>
  <c r="W82" i="5"/>
  <c r="U82" i="5"/>
  <c r="T82" i="5"/>
  <c r="X81" i="5"/>
  <c r="W81" i="5"/>
  <c r="U81" i="5"/>
  <c r="T81" i="5"/>
  <c r="X80" i="5"/>
  <c r="W80" i="5"/>
  <c r="U80" i="5"/>
  <c r="T80" i="5"/>
  <c r="X79" i="5"/>
  <c r="W79" i="5"/>
  <c r="U79" i="5"/>
  <c r="T79" i="5"/>
  <c r="X78" i="5"/>
  <c r="W78" i="5"/>
  <c r="U78" i="5"/>
  <c r="T78" i="5"/>
  <c r="X77" i="5"/>
  <c r="W77" i="5"/>
  <c r="U77" i="5"/>
  <c r="T77" i="5"/>
  <c r="X76" i="5"/>
  <c r="W76" i="5"/>
  <c r="U76" i="5"/>
  <c r="T76" i="5"/>
  <c r="E76" i="5"/>
  <c r="D76" i="5"/>
  <c r="B76" i="5"/>
  <c r="X75" i="5"/>
  <c r="W75" i="5"/>
  <c r="U75" i="5"/>
  <c r="T75" i="5"/>
  <c r="E75" i="5"/>
  <c r="D75" i="5"/>
  <c r="B75" i="5"/>
  <c r="C75" i="5" s="1"/>
  <c r="X74" i="5"/>
  <c r="W74" i="5"/>
  <c r="U74" i="5"/>
  <c r="T74" i="5"/>
  <c r="E74" i="5"/>
  <c r="D74" i="5"/>
  <c r="B74" i="5"/>
  <c r="X73" i="5"/>
  <c r="W73" i="5"/>
  <c r="U73" i="5"/>
  <c r="T73" i="5"/>
  <c r="X72" i="5"/>
  <c r="W72" i="5"/>
  <c r="U72" i="5"/>
  <c r="T72" i="5"/>
  <c r="X71" i="5"/>
  <c r="W71" i="5"/>
  <c r="U71" i="5"/>
  <c r="T71" i="5"/>
  <c r="X70" i="5"/>
  <c r="W70" i="5"/>
  <c r="U70" i="5"/>
  <c r="T70" i="5"/>
  <c r="C70" i="5"/>
  <c r="B70" i="5"/>
  <c r="X69" i="5"/>
  <c r="W69" i="5"/>
  <c r="U69" i="5"/>
  <c r="T69" i="5"/>
  <c r="D69" i="5"/>
  <c r="E69" i="5" s="1"/>
  <c r="C69" i="5"/>
  <c r="B69" i="5"/>
  <c r="X68" i="5"/>
  <c r="W68" i="5"/>
  <c r="U68" i="5"/>
  <c r="T68" i="5"/>
  <c r="D68" i="5"/>
  <c r="E68" i="5" s="1"/>
  <c r="C68" i="5"/>
  <c r="B68" i="5"/>
  <c r="X67" i="5"/>
  <c r="W67" i="5"/>
  <c r="U67" i="5"/>
  <c r="T67" i="5"/>
  <c r="D67" i="5"/>
  <c r="E67" i="5" s="1"/>
  <c r="C67" i="5"/>
  <c r="B67" i="5"/>
  <c r="X66" i="5"/>
  <c r="W66" i="5"/>
  <c r="U66" i="5"/>
  <c r="T66" i="5"/>
  <c r="D66" i="5"/>
  <c r="E66" i="5" s="1"/>
  <c r="C66" i="5"/>
  <c r="B66" i="5"/>
  <c r="X65" i="5"/>
  <c r="W65" i="5"/>
  <c r="U65" i="5"/>
  <c r="T65" i="5"/>
  <c r="D65" i="5"/>
  <c r="E65" i="5" s="1"/>
  <c r="C65" i="5"/>
  <c r="B65" i="5"/>
  <c r="X64" i="5"/>
  <c r="W64" i="5"/>
  <c r="U64" i="5"/>
  <c r="T64" i="5"/>
  <c r="D64" i="5"/>
  <c r="E64" i="5" s="1"/>
  <c r="C64" i="5"/>
  <c r="B64" i="5"/>
  <c r="X63" i="5"/>
  <c r="W63" i="5"/>
  <c r="U63" i="5"/>
  <c r="T63" i="5"/>
  <c r="D63" i="5"/>
  <c r="E63" i="5" s="1"/>
  <c r="C63" i="5"/>
  <c r="B63" i="5"/>
  <c r="X62" i="5"/>
  <c r="W62" i="5"/>
  <c r="U62" i="5"/>
  <c r="T62" i="5"/>
  <c r="D62" i="5"/>
  <c r="C62" i="5"/>
  <c r="B62" i="5"/>
  <c r="X61" i="5"/>
  <c r="W61" i="5"/>
  <c r="U61" i="5"/>
  <c r="T61" i="5"/>
  <c r="X60" i="5"/>
  <c r="W60" i="5"/>
  <c r="U60" i="5"/>
  <c r="T60" i="5"/>
  <c r="X59" i="5"/>
  <c r="W59" i="5"/>
  <c r="U59" i="5"/>
  <c r="T59" i="5"/>
  <c r="X58" i="5"/>
  <c r="W58" i="5"/>
  <c r="U58" i="5"/>
  <c r="T58" i="5"/>
  <c r="C58" i="5"/>
  <c r="B58" i="5"/>
  <c r="X57" i="5"/>
  <c r="W57" i="5"/>
  <c r="U57" i="5"/>
  <c r="T57" i="5"/>
  <c r="D57" i="5"/>
  <c r="C57" i="5"/>
  <c r="B57" i="5"/>
  <c r="X56" i="5"/>
  <c r="W56" i="5"/>
  <c r="U56" i="5"/>
  <c r="T56" i="5"/>
  <c r="D56" i="5"/>
  <c r="C56" i="5"/>
  <c r="B56" i="5"/>
  <c r="X55" i="5"/>
  <c r="W55" i="5"/>
  <c r="U55" i="5"/>
  <c r="T55" i="5"/>
  <c r="D55" i="5"/>
  <c r="C55" i="5"/>
  <c r="B55" i="5"/>
  <c r="X54" i="5"/>
  <c r="W54" i="5"/>
  <c r="U54" i="5"/>
  <c r="T54" i="5"/>
  <c r="D54" i="5"/>
  <c r="C54" i="5"/>
  <c r="B54" i="5"/>
  <c r="X53" i="5"/>
  <c r="W53" i="5"/>
  <c r="U53" i="5"/>
  <c r="T53" i="5"/>
  <c r="D53" i="5"/>
  <c r="C53" i="5"/>
  <c r="B53" i="5"/>
  <c r="X52" i="5"/>
  <c r="W52" i="5"/>
  <c r="U52" i="5"/>
  <c r="T52" i="5"/>
  <c r="X51" i="5"/>
  <c r="W51" i="5"/>
  <c r="U51" i="5"/>
  <c r="T51" i="5"/>
  <c r="X50" i="5"/>
  <c r="W50" i="5"/>
  <c r="U50" i="5"/>
  <c r="T50" i="5"/>
  <c r="X49" i="5"/>
  <c r="W49" i="5"/>
  <c r="U49" i="5"/>
  <c r="T49" i="5"/>
  <c r="X48" i="5"/>
  <c r="W48" i="5"/>
  <c r="U48" i="5"/>
  <c r="T48" i="5"/>
  <c r="B48" i="5"/>
  <c r="C48" i="5" s="1"/>
  <c r="X47" i="5"/>
  <c r="W47" i="5"/>
  <c r="U47" i="5"/>
  <c r="T47" i="5"/>
  <c r="B47" i="5"/>
  <c r="C47" i="5" s="1"/>
  <c r="X46" i="5"/>
  <c r="W46" i="5"/>
  <c r="U46" i="5"/>
  <c r="T46" i="5"/>
  <c r="B46" i="5"/>
  <c r="C46" i="5" s="1"/>
  <c r="X45" i="5"/>
  <c r="W45" i="5"/>
  <c r="U45" i="5"/>
  <c r="T45" i="5"/>
  <c r="B45" i="5"/>
  <c r="C45" i="5" s="1"/>
  <c r="X44" i="5"/>
  <c r="W44" i="5"/>
  <c r="U44" i="5"/>
  <c r="T44" i="5"/>
  <c r="B44" i="5"/>
  <c r="X43" i="5"/>
  <c r="W43" i="5"/>
  <c r="U43" i="5"/>
  <c r="T43" i="5"/>
  <c r="X42" i="5"/>
  <c r="W42" i="5"/>
  <c r="U42" i="5"/>
  <c r="T42" i="5"/>
  <c r="X41" i="5"/>
  <c r="W41" i="5"/>
  <c r="U41" i="5"/>
  <c r="T41" i="5"/>
  <c r="X40" i="5"/>
  <c r="W40" i="5"/>
  <c r="U40" i="5"/>
  <c r="T40" i="5"/>
  <c r="C40" i="5"/>
  <c r="B40" i="5"/>
  <c r="X39" i="5"/>
  <c r="W39" i="5"/>
  <c r="U39" i="5"/>
  <c r="T39" i="5"/>
  <c r="D39" i="5"/>
  <c r="C39" i="5"/>
  <c r="B39" i="5"/>
  <c r="X38" i="5"/>
  <c r="W38" i="5"/>
  <c r="U38" i="5"/>
  <c r="T38" i="5"/>
  <c r="D38" i="5"/>
  <c r="C38" i="5"/>
  <c r="B38" i="5"/>
  <c r="X37" i="5"/>
  <c r="W37" i="5"/>
  <c r="U37" i="5"/>
  <c r="T37" i="5"/>
  <c r="X36" i="5"/>
  <c r="W36" i="5"/>
  <c r="U36" i="5"/>
  <c r="T36" i="5"/>
  <c r="X35" i="5"/>
  <c r="W35" i="5"/>
  <c r="U35" i="5"/>
  <c r="T35" i="5"/>
  <c r="X34" i="5"/>
  <c r="W34" i="5"/>
  <c r="U34" i="5"/>
  <c r="T34" i="5"/>
  <c r="X33" i="5"/>
  <c r="W33" i="5"/>
  <c r="U33" i="5"/>
  <c r="T33" i="5"/>
  <c r="C33" i="5"/>
  <c r="B33" i="5"/>
  <c r="X32" i="5"/>
  <c r="W32" i="5"/>
  <c r="U32" i="5"/>
  <c r="T32" i="5"/>
  <c r="C32" i="5"/>
  <c r="B32" i="5"/>
  <c r="X31" i="5"/>
  <c r="W31" i="5"/>
  <c r="U31" i="5"/>
  <c r="T31" i="5"/>
  <c r="C31" i="5"/>
  <c r="B31" i="5"/>
  <c r="X30" i="5"/>
  <c r="W30" i="5"/>
  <c r="U30" i="5"/>
  <c r="T30" i="5"/>
  <c r="C30" i="5"/>
  <c r="B30" i="5"/>
  <c r="X29" i="5"/>
  <c r="W29" i="5"/>
  <c r="U29" i="5"/>
  <c r="T29" i="5"/>
  <c r="C29" i="5"/>
  <c r="B29" i="5"/>
  <c r="X28" i="5"/>
  <c r="W28" i="5"/>
  <c r="U28" i="5"/>
  <c r="T28" i="5"/>
  <c r="X27" i="5"/>
  <c r="W27" i="5"/>
  <c r="U27" i="5"/>
  <c r="T27" i="5"/>
  <c r="X26" i="5"/>
  <c r="W26" i="5"/>
  <c r="U26" i="5"/>
  <c r="T26" i="5"/>
  <c r="X25" i="5"/>
  <c r="W25" i="5"/>
  <c r="U25" i="5"/>
  <c r="T25" i="5"/>
  <c r="X24" i="5"/>
  <c r="W24" i="5"/>
  <c r="U24" i="5"/>
  <c r="T24" i="5"/>
  <c r="C24" i="5"/>
  <c r="B24" i="5"/>
  <c r="X23" i="5"/>
  <c r="W23" i="5"/>
  <c r="U23" i="5"/>
  <c r="T23" i="5"/>
  <c r="C23" i="5"/>
  <c r="B23" i="5"/>
  <c r="X22" i="5"/>
  <c r="W22" i="5"/>
  <c r="U22" i="5"/>
  <c r="T22" i="5"/>
  <c r="X21" i="5"/>
  <c r="W21" i="5"/>
  <c r="U21" i="5"/>
  <c r="T21" i="5"/>
  <c r="X20" i="5"/>
  <c r="W20" i="5"/>
  <c r="U20" i="5"/>
  <c r="T20" i="5"/>
  <c r="X19" i="5"/>
  <c r="W19" i="5"/>
  <c r="U19" i="5"/>
  <c r="T19" i="5"/>
  <c r="X18" i="5"/>
  <c r="W18" i="5"/>
  <c r="U18" i="5"/>
  <c r="T18" i="5"/>
  <c r="C18" i="5"/>
  <c r="B18" i="5"/>
  <c r="X17" i="5"/>
  <c r="W17" i="5"/>
  <c r="U17" i="5"/>
  <c r="T17" i="5"/>
  <c r="C17" i="5"/>
  <c r="B17" i="5"/>
  <c r="X16" i="5"/>
  <c r="W16" i="5"/>
  <c r="U16" i="5"/>
  <c r="T16" i="5"/>
  <c r="C16" i="5"/>
  <c r="B16" i="5"/>
  <c r="X15" i="5"/>
  <c r="W15" i="5"/>
  <c r="U15" i="5"/>
  <c r="T15" i="5"/>
  <c r="C15" i="5"/>
  <c r="B15" i="5"/>
  <c r="X14" i="5"/>
  <c r="W14" i="5"/>
  <c r="U14" i="5"/>
  <c r="T14" i="5"/>
  <c r="C14" i="5"/>
  <c r="C19" i="5" s="1"/>
  <c r="B14" i="5"/>
  <c r="X13" i="5"/>
  <c r="W13" i="5"/>
  <c r="U13" i="5"/>
  <c r="T13" i="5"/>
  <c r="X12" i="5"/>
  <c r="W12" i="5"/>
  <c r="U12" i="5"/>
  <c r="T12" i="5"/>
  <c r="X11" i="5"/>
  <c r="W11" i="5"/>
  <c r="U11" i="5"/>
  <c r="T11" i="5"/>
  <c r="X10" i="5"/>
  <c r="W10" i="5"/>
  <c r="U10" i="5"/>
  <c r="T10" i="5"/>
  <c r="B10" i="5"/>
  <c r="X9" i="5"/>
  <c r="W9" i="5"/>
  <c r="U9" i="5"/>
  <c r="T9" i="5"/>
  <c r="C9" i="5"/>
  <c r="B9" i="5"/>
  <c r="X8" i="5"/>
  <c r="W8" i="5"/>
  <c r="U8" i="5"/>
  <c r="T8" i="5"/>
  <c r="C8" i="5"/>
  <c r="B8" i="5"/>
  <c r="X7" i="5"/>
  <c r="W7" i="5"/>
  <c r="U7" i="5"/>
  <c r="T7" i="5"/>
  <c r="C7" i="5"/>
  <c r="B7" i="5"/>
  <c r="X6" i="5"/>
  <c r="W6" i="5"/>
  <c r="U6" i="5"/>
  <c r="T6" i="5"/>
  <c r="C6" i="5"/>
  <c r="B6" i="5"/>
  <c r="X5" i="5"/>
  <c r="W5" i="5"/>
  <c r="U5" i="5"/>
  <c r="T5" i="5"/>
  <c r="C5" i="5"/>
  <c r="C10" i="5" s="1"/>
  <c r="B5" i="5"/>
  <c r="B17" i="4"/>
  <c r="C17" i="4" s="1"/>
  <c r="B16" i="4"/>
  <c r="C16" i="4" s="1"/>
  <c r="B15" i="4"/>
  <c r="C15" i="4" s="1"/>
  <c r="B14" i="4"/>
  <c r="C14" i="4" s="1"/>
  <c r="D9" i="4"/>
  <c r="C9" i="4"/>
  <c r="E8" i="4"/>
  <c r="D8" i="4"/>
  <c r="C8" i="4"/>
  <c r="B8" i="4"/>
  <c r="F8" i="4" s="1"/>
  <c r="E7" i="4"/>
  <c r="D7" i="4"/>
  <c r="C7" i="4"/>
  <c r="B7" i="4"/>
  <c r="F7" i="4" s="1"/>
  <c r="E6" i="4"/>
  <c r="D6" i="4"/>
  <c r="C6" i="4"/>
  <c r="B6" i="4"/>
  <c r="F6" i="4" s="1"/>
  <c r="E5" i="4"/>
  <c r="D5" i="4"/>
  <c r="C5" i="4"/>
  <c r="B5" i="4"/>
  <c r="F5" i="4" s="1"/>
  <c r="E4" i="4"/>
  <c r="E9" i="4" s="1"/>
  <c r="D4" i="4"/>
  <c r="C4" i="4"/>
  <c r="E5" i="3" s="1"/>
  <c r="B4" i="4"/>
  <c r="E9" i="3" s="1"/>
  <c r="D269" i="3"/>
  <c r="C269" i="3"/>
  <c r="B269" i="3"/>
  <c r="D268" i="3"/>
  <c r="C268" i="3"/>
  <c r="B268" i="3"/>
  <c r="D267" i="3"/>
  <c r="C267" i="3"/>
  <c r="B267" i="3"/>
  <c r="D266" i="3"/>
  <c r="C266" i="3"/>
  <c r="B266" i="3"/>
  <c r="D265" i="3"/>
  <c r="C265" i="3"/>
  <c r="B265" i="3"/>
  <c r="D264" i="3"/>
  <c r="C264" i="3"/>
  <c r="B264" i="3"/>
  <c r="D263" i="3"/>
  <c r="C263" i="3"/>
  <c r="B263" i="3"/>
  <c r="D262" i="3"/>
  <c r="C262" i="3"/>
  <c r="B262" i="3"/>
  <c r="D261" i="3"/>
  <c r="C261" i="3"/>
  <c r="B261" i="3"/>
  <c r="D260" i="3"/>
  <c r="C260" i="3"/>
  <c r="B260" i="3"/>
  <c r="D259" i="3"/>
  <c r="C259" i="3"/>
  <c r="B259" i="3"/>
  <c r="D258" i="3"/>
  <c r="C258" i="3"/>
  <c r="B258" i="3"/>
  <c r="D257" i="3"/>
  <c r="C257" i="3"/>
  <c r="B257" i="3"/>
  <c r="D256" i="3"/>
  <c r="C256" i="3"/>
  <c r="B256" i="3"/>
  <c r="D255" i="3"/>
  <c r="C255" i="3"/>
  <c r="B255" i="3"/>
  <c r="D254" i="3"/>
  <c r="C254" i="3"/>
  <c r="B254" i="3"/>
  <c r="D253" i="3"/>
  <c r="C253" i="3"/>
  <c r="B253" i="3"/>
  <c r="D252" i="3"/>
  <c r="C252" i="3"/>
  <c r="B252" i="3"/>
  <c r="D251" i="3"/>
  <c r="C251" i="3"/>
  <c r="B251" i="3"/>
  <c r="D250" i="3"/>
  <c r="C250" i="3"/>
  <c r="B250" i="3"/>
  <c r="D249" i="3"/>
  <c r="C249" i="3"/>
  <c r="B249" i="3"/>
  <c r="D248" i="3"/>
  <c r="C248" i="3"/>
  <c r="B248" i="3"/>
  <c r="D247" i="3"/>
  <c r="C247" i="3"/>
  <c r="B247" i="3"/>
  <c r="D246" i="3"/>
  <c r="C246" i="3"/>
  <c r="B246" i="3"/>
  <c r="D245" i="3"/>
  <c r="C245" i="3"/>
  <c r="B245" i="3"/>
  <c r="D244" i="3"/>
  <c r="C244" i="3"/>
  <c r="B244" i="3"/>
  <c r="D243" i="3"/>
  <c r="C243" i="3"/>
  <c r="B243" i="3"/>
  <c r="D242" i="3"/>
  <c r="C242" i="3"/>
  <c r="B242" i="3"/>
  <c r="D241" i="3"/>
  <c r="C241" i="3"/>
  <c r="B241" i="3"/>
  <c r="D240" i="3"/>
  <c r="C240" i="3"/>
  <c r="B240" i="3"/>
  <c r="D239" i="3"/>
  <c r="C239" i="3"/>
  <c r="B239" i="3"/>
  <c r="D238" i="3"/>
  <c r="C238" i="3"/>
  <c r="B238" i="3"/>
  <c r="D237" i="3"/>
  <c r="C237" i="3"/>
  <c r="B237" i="3"/>
  <c r="D236" i="3"/>
  <c r="C236" i="3"/>
  <c r="B236" i="3"/>
  <c r="D235" i="3"/>
  <c r="C235" i="3"/>
  <c r="B235" i="3"/>
  <c r="D234" i="3"/>
  <c r="C234" i="3"/>
  <c r="B234" i="3"/>
  <c r="D233" i="3"/>
  <c r="C233" i="3"/>
  <c r="B233" i="3"/>
  <c r="D232" i="3"/>
  <c r="C232" i="3"/>
  <c r="B232" i="3"/>
  <c r="D231" i="3"/>
  <c r="C231" i="3"/>
  <c r="B231" i="3"/>
  <c r="D230" i="3"/>
  <c r="C230" i="3"/>
  <c r="B230" i="3"/>
  <c r="D229" i="3"/>
  <c r="C229" i="3"/>
  <c r="B229" i="3"/>
  <c r="D228" i="3"/>
  <c r="C228" i="3"/>
  <c r="B228" i="3"/>
  <c r="D227" i="3"/>
  <c r="C227" i="3"/>
  <c r="B227" i="3"/>
  <c r="D226" i="3"/>
  <c r="C226" i="3"/>
  <c r="B226" i="3"/>
  <c r="D225" i="3"/>
  <c r="C225" i="3"/>
  <c r="B225" i="3"/>
  <c r="D224" i="3"/>
  <c r="C224" i="3"/>
  <c r="B224" i="3"/>
  <c r="D223" i="3"/>
  <c r="C223" i="3"/>
  <c r="B223" i="3"/>
  <c r="D222" i="3"/>
  <c r="C222" i="3"/>
  <c r="B222" i="3"/>
  <c r="D221" i="3"/>
  <c r="C221" i="3"/>
  <c r="B221" i="3"/>
  <c r="D220" i="3"/>
  <c r="C220" i="3"/>
  <c r="B220" i="3"/>
  <c r="D219" i="3"/>
  <c r="C219" i="3"/>
  <c r="B219" i="3"/>
  <c r="D218" i="3"/>
  <c r="C218" i="3"/>
  <c r="B218" i="3"/>
  <c r="D217" i="3"/>
  <c r="C217" i="3"/>
  <c r="B217" i="3"/>
  <c r="D216" i="3"/>
  <c r="C216" i="3"/>
  <c r="B216" i="3"/>
  <c r="D215" i="3"/>
  <c r="C215" i="3"/>
  <c r="B215" i="3"/>
  <c r="D214" i="3"/>
  <c r="C214" i="3"/>
  <c r="B214" i="3"/>
  <c r="D213" i="3"/>
  <c r="C213" i="3"/>
  <c r="B213" i="3"/>
  <c r="D212" i="3"/>
  <c r="C212" i="3"/>
  <c r="B212" i="3"/>
  <c r="D211" i="3"/>
  <c r="C211" i="3"/>
  <c r="B211" i="3"/>
  <c r="D210" i="3"/>
  <c r="C210" i="3"/>
  <c r="B210" i="3"/>
  <c r="D209" i="3"/>
  <c r="C209" i="3"/>
  <c r="B209" i="3"/>
  <c r="D208" i="3"/>
  <c r="C208" i="3"/>
  <c r="B208" i="3"/>
  <c r="D207" i="3"/>
  <c r="C207" i="3"/>
  <c r="B207" i="3"/>
  <c r="D206" i="3"/>
  <c r="C206" i="3"/>
  <c r="B206" i="3"/>
  <c r="D205" i="3"/>
  <c r="C205" i="3"/>
  <c r="B205" i="3"/>
  <c r="D204" i="3"/>
  <c r="C204" i="3"/>
  <c r="B204" i="3"/>
  <c r="D203" i="3"/>
  <c r="C203" i="3"/>
  <c r="B203" i="3"/>
  <c r="D202" i="3"/>
  <c r="C202" i="3"/>
  <c r="B202" i="3"/>
  <c r="D201" i="3"/>
  <c r="C201" i="3"/>
  <c r="B201" i="3"/>
  <c r="D200" i="3"/>
  <c r="C200" i="3"/>
  <c r="B200" i="3"/>
  <c r="D199" i="3"/>
  <c r="C199" i="3"/>
  <c r="B199" i="3"/>
  <c r="D198" i="3"/>
  <c r="C198" i="3"/>
  <c r="B198" i="3"/>
  <c r="D197" i="3"/>
  <c r="C197" i="3"/>
  <c r="B197" i="3"/>
  <c r="D196" i="3"/>
  <c r="C196" i="3"/>
  <c r="B196" i="3"/>
  <c r="D195" i="3"/>
  <c r="C195" i="3"/>
  <c r="B195" i="3"/>
  <c r="D194" i="3"/>
  <c r="C194" i="3"/>
  <c r="B194" i="3"/>
  <c r="D193" i="3"/>
  <c r="C193" i="3"/>
  <c r="B193" i="3"/>
  <c r="D192" i="3"/>
  <c r="C192" i="3"/>
  <c r="B192" i="3"/>
  <c r="D191" i="3"/>
  <c r="C191" i="3"/>
  <c r="B191" i="3"/>
  <c r="D190" i="3"/>
  <c r="C190" i="3"/>
  <c r="B190" i="3"/>
  <c r="D189" i="3"/>
  <c r="C189" i="3"/>
  <c r="B189" i="3"/>
  <c r="D188" i="3"/>
  <c r="C188" i="3"/>
  <c r="B188" i="3"/>
  <c r="D187" i="3"/>
  <c r="C187" i="3"/>
  <c r="B187" i="3"/>
  <c r="D186" i="3"/>
  <c r="C186" i="3"/>
  <c r="B186" i="3"/>
  <c r="D185" i="3"/>
  <c r="C185" i="3"/>
  <c r="B185" i="3"/>
  <c r="D184" i="3"/>
  <c r="C184" i="3"/>
  <c r="B184" i="3"/>
  <c r="D183" i="3"/>
  <c r="C183" i="3"/>
  <c r="B183" i="3"/>
  <c r="D182" i="3"/>
  <c r="C182" i="3"/>
  <c r="B182" i="3"/>
  <c r="D181" i="3"/>
  <c r="C181" i="3"/>
  <c r="B181" i="3"/>
  <c r="D180" i="3"/>
  <c r="C180" i="3"/>
  <c r="B180" i="3"/>
  <c r="D179" i="3"/>
  <c r="C179" i="3"/>
  <c r="B179" i="3"/>
  <c r="D178" i="3"/>
  <c r="C178" i="3"/>
  <c r="B178" i="3"/>
  <c r="D177" i="3"/>
  <c r="C177" i="3"/>
  <c r="B177" i="3"/>
  <c r="D176" i="3"/>
  <c r="C176" i="3"/>
  <c r="B176" i="3"/>
  <c r="D175" i="3"/>
  <c r="C175" i="3"/>
  <c r="B175" i="3"/>
  <c r="D174" i="3"/>
  <c r="C174" i="3"/>
  <c r="B174" i="3"/>
  <c r="D173" i="3"/>
  <c r="C173" i="3"/>
  <c r="B173" i="3"/>
  <c r="D172" i="3"/>
  <c r="C172" i="3"/>
  <c r="B172" i="3"/>
  <c r="D171" i="3"/>
  <c r="C171" i="3"/>
  <c r="B171" i="3"/>
  <c r="D170" i="3"/>
  <c r="C170" i="3"/>
  <c r="B170" i="3"/>
  <c r="D169" i="3"/>
  <c r="C169" i="3"/>
  <c r="B169" i="3"/>
  <c r="D168" i="3"/>
  <c r="C168" i="3"/>
  <c r="B168" i="3"/>
  <c r="D167" i="3"/>
  <c r="C167" i="3"/>
  <c r="B167" i="3"/>
  <c r="D166" i="3"/>
  <c r="C166" i="3"/>
  <c r="B166" i="3"/>
  <c r="D165" i="3"/>
  <c r="C165" i="3"/>
  <c r="B165" i="3"/>
  <c r="D164" i="3"/>
  <c r="C164" i="3"/>
  <c r="B164" i="3"/>
  <c r="D163" i="3"/>
  <c r="C163" i="3"/>
  <c r="B163" i="3"/>
  <c r="D162" i="3"/>
  <c r="C162" i="3"/>
  <c r="B162" i="3"/>
  <c r="D161" i="3"/>
  <c r="C161" i="3"/>
  <c r="B161" i="3"/>
  <c r="D160" i="3"/>
  <c r="C160" i="3"/>
  <c r="B160" i="3"/>
  <c r="D159" i="3"/>
  <c r="C159" i="3"/>
  <c r="B159" i="3"/>
  <c r="D158" i="3"/>
  <c r="C158" i="3"/>
  <c r="B158" i="3"/>
  <c r="D157" i="3"/>
  <c r="C157" i="3"/>
  <c r="B157" i="3"/>
  <c r="D156" i="3"/>
  <c r="C156" i="3"/>
  <c r="B156" i="3"/>
  <c r="D155" i="3"/>
  <c r="C155" i="3"/>
  <c r="B155" i="3"/>
  <c r="D154" i="3"/>
  <c r="C154" i="3"/>
  <c r="B154" i="3"/>
  <c r="D153" i="3"/>
  <c r="C153" i="3"/>
  <c r="B153" i="3"/>
  <c r="D152" i="3"/>
  <c r="C152" i="3"/>
  <c r="B152" i="3"/>
  <c r="D151" i="3"/>
  <c r="C151" i="3"/>
  <c r="B151" i="3"/>
  <c r="D150" i="3"/>
  <c r="C150" i="3"/>
  <c r="B150" i="3"/>
  <c r="D149" i="3"/>
  <c r="C149" i="3"/>
  <c r="B149" i="3"/>
  <c r="D148" i="3"/>
  <c r="C148" i="3"/>
  <c r="B148" i="3"/>
  <c r="D147" i="3"/>
  <c r="C147" i="3"/>
  <c r="B147" i="3"/>
  <c r="D146" i="3"/>
  <c r="C146" i="3"/>
  <c r="B146" i="3"/>
  <c r="D145" i="3"/>
  <c r="C145" i="3"/>
  <c r="B145" i="3"/>
  <c r="D144" i="3"/>
  <c r="C144" i="3"/>
  <c r="B144" i="3"/>
  <c r="D143" i="3"/>
  <c r="C143" i="3"/>
  <c r="B143" i="3"/>
  <c r="D142" i="3"/>
  <c r="C142" i="3"/>
  <c r="B142" i="3"/>
  <c r="D141" i="3"/>
  <c r="C141" i="3"/>
  <c r="B141" i="3"/>
  <c r="D140" i="3"/>
  <c r="C140" i="3"/>
  <c r="B140" i="3"/>
  <c r="D139" i="3"/>
  <c r="C139" i="3"/>
  <c r="B139" i="3"/>
  <c r="D138" i="3"/>
  <c r="C138" i="3"/>
  <c r="B138" i="3"/>
  <c r="D137" i="3"/>
  <c r="C137" i="3"/>
  <c r="B137" i="3"/>
  <c r="D136" i="3"/>
  <c r="C136" i="3"/>
  <c r="B136" i="3"/>
  <c r="D135" i="3"/>
  <c r="C135" i="3"/>
  <c r="B135" i="3"/>
  <c r="D134" i="3"/>
  <c r="C134" i="3"/>
  <c r="B134" i="3"/>
  <c r="D133" i="3"/>
  <c r="C133" i="3"/>
  <c r="B133" i="3"/>
  <c r="D132" i="3"/>
  <c r="C132" i="3"/>
  <c r="B132" i="3"/>
  <c r="D131" i="3"/>
  <c r="C131" i="3"/>
  <c r="B131" i="3"/>
  <c r="D130" i="3"/>
  <c r="C130" i="3"/>
  <c r="B130" i="3"/>
  <c r="D129" i="3"/>
  <c r="C129" i="3"/>
  <c r="B129" i="3"/>
  <c r="D128" i="3"/>
  <c r="C128" i="3"/>
  <c r="B128" i="3"/>
  <c r="D127" i="3"/>
  <c r="C127" i="3"/>
  <c r="B127" i="3"/>
  <c r="D126" i="3"/>
  <c r="C126" i="3"/>
  <c r="B126" i="3"/>
  <c r="D125" i="3"/>
  <c r="C125" i="3"/>
  <c r="B125" i="3"/>
  <c r="D124" i="3"/>
  <c r="C124" i="3"/>
  <c r="B124" i="3"/>
  <c r="D123" i="3"/>
  <c r="C123" i="3"/>
  <c r="B123" i="3"/>
  <c r="D122" i="3"/>
  <c r="C122" i="3"/>
  <c r="B122" i="3"/>
  <c r="D121" i="3"/>
  <c r="C121" i="3"/>
  <c r="B121" i="3"/>
  <c r="D120" i="3"/>
  <c r="C120" i="3"/>
  <c r="B120" i="3"/>
  <c r="D119" i="3"/>
  <c r="C119" i="3"/>
  <c r="B119" i="3"/>
  <c r="D118" i="3"/>
  <c r="C118" i="3"/>
  <c r="B118" i="3"/>
  <c r="D117" i="3"/>
  <c r="C117" i="3"/>
  <c r="B117" i="3"/>
  <c r="D116" i="3"/>
  <c r="C116" i="3"/>
  <c r="B116" i="3"/>
  <c r="D115" i="3"/>
  <c r="C115" i="3"/>
  <c r="B115" i="3"/>
  <c r="D114" i="3"/>
  <c r="C114" i="3"/>
  <c r="B114" i="3"/>
  <c r="D113" i="3"/>
  <c r="C113" i="3"/>
  <c r="B113" i="3"/>
  <c r="D112" i="3"/>
  <c r="C112" i="3"/>
  <c r="B112" i="3"/>
  <c r="D111" i="3"/>
  <c r="C111" i="3"/>
  <c r="B111" i="3"/>
  <c r="D110" i="3"/>
  <c r="C110" i="3"/>
  <c r="B110" i="3"/>
  <c r="D109" i="3"/>
  <c r="C109" i="3"/>
  <c r="B109" i="3"/>
  <c r="D108" i="3"/>
  <c r="C108" i="3"/>
  <c r="B108" i="3"/>
  <c r="D107" i="3"/>
  <c r="C107" i="3"/>
  <c r="B107" i="3"/>
  <c r="D106" i="3"/>
  <c r="C106" i="3"/>
  <c r="B106" i="3"/>
  <c r="D105" i="3"/>
  <c r="C105" i="3"/>
  <c r="B105" i="3"/>
  <c r="D104" i="3"/>
  <c r="C104" i="3"/>
  <c r="B104" i="3"/>
  <c r="D103" i="3"/>
  <c r="C103" i="3"/>
  <c r="B103" i="3"/>
  <c r="D102" i="3"/>
  <c r="C102" i="3"/>
  <c r="B102" i="3"/>
  <c r="D101" i="3"/>
  <c r="C101" i="3"/>
  <c r="B101" i="3"/>
  <c r="D100" i="3"/>
  <c r="C100" i="3"/>
  <c r="B100" i="3"/>
  <c r="D99" i="3"/>
  <c r="C99" i="3"/>
  <c r="B99" i="3"/>
  <c r="D98" i="3"/>
  <c r="C98" i="3"/>
  <c r="B98" i="3"/>
  <c r="D97" i="3"/>
  <c r="C97" i="3"/>
  <c r="B97" i="3"/>
  <c r="D96" i="3"/>
  <c r="C96" i="3"/>
  <c r="B96" i="3"/>
  <c r="D95" i="3"/>
  <c r="C95" i="3"/>
  <c r="B95" i="3"/>
  <c r="D94" i="3"/>
  <c r="C94" i="3"/>
  <c r="B94" i="3"/>
  <c r="D93" i="3"/>
  <c r="C93" i="3"/>
  <c r="B93" i="3"/>
  <c r="D92" i="3"/>
  <c r="C92" i="3"/>
  <c r="B92" i="3"/>
  <c r="D91" i="3"/>
  <c r="C91" i="3"/>
  <c r="B91" i="3"/>
  <c r="D90" i="3"/>
  <c r="C90" i="3"/>
  <c r="B90" i="3"/>
  <c r="D89" i="3"/>
  <c r="C89" i="3"/>
  <c r="B89" i="3"/>
  <c r="D88" i="3"/>
  <c r="C88" i="3"/>
  <c r="B88" i="3"/>
  <c r="D87" i="3"/>
  <c r="C87" i="3"/>
  <c r="B87" i="3"/>
  <c r="D86" i="3"/>
  <c r="C86" i="3"/>
  <c r="B86" i="3"/>
  <c r="D85" i="3"/>
  <c r="C85" i="3"/>
  <c r="B85" i="3"/>
  <c r="D84" i="3"/>
  <c r="C84" i="3"/>
  <c r="B84" i="3"/>
  <c r="D83" i="3"/>
  <c r="C83" i="3"/>
  <c r="B83" i="3"/>
  <c r="D82" i="3"/>
  <c r="C82" i="3"/>
  <c r="B82" i="3"/>
  <c r="D81" i="3"/>
  <c r="C81" i="3"/>
  <c r="B81" i="3"/>
  <c r="D80" i="3"/>
  <c r="C80" i="3"/>
  <c r="B80" i="3"/>
  <c r="D79" i="3"/>
  <c r="C79" i="3"/>
  <c r="B79" i="3"/>
  <c r="D78" i="3"/>
  <c r="C78" i="3"/>
  <c r="B78" i="3"/>
  <c r="D77" i="3"/>
  <c r="C77" i="3"/>
  <c r="B77" i="3"/>
  <c r="D76" i="3"/>
  <c r="C76" i="3"/>
  <c r="B76" i="3"/>
  <c r="D75" i="3"/>
  <c r="C75" i="3"/>
  <c r="B75" i="3"/>
  <c r="D74" i="3"/>
  <c r="C74" i="3"/>
  <c r="B74" i="3"/>
  <c r="D73" i="3"/>
  <c r="C73" i="3"/>
  <c r="B73" i="3"/>
  <c r="D72" i="3"/>
  <c r="C72" i="3"/>
  <c r="B72" i="3"/>
  <c r="D71" i="3"/>
  <c r="C71" i="3"/>
  <c r="B71" i="3"/>
  <c r="D70" i="3"/>
  <c r="C70" i="3"/>
  <c r="B70" i="3"/>
  <c r="D69" i="3"/>
  <c r="C69" i="3"/>
  <c r="B69" i="3"/>
  <c r="D68" i="3"/>
  <c r="C68" i="3"/>
  <c r="B68" i="3"/>
  <c r="D67" i="3"/>
  <c r="C67" i="3"/>
  <c r="B67" i="3"/>
  <c r="D66" i="3"/>
  <c r="C66" i="3"/>
  <c r="B66" i="3"/>
  <c r="D65" i="3"/>
  <c r="C65" i="3"/>
  <c r="B65" i="3"/>
  <c r="D64" i="3"/>
  <c r="C64" i="3"/>
  <c r="B64" i="3"/>
  <c r="D63" i="3"/>
  <c r="C63" i="3"/>
  <c r="B63" i="3"/>
  <c r="D62" i="3"/>
  <c r="C62" i="3"/>
  <c r="B62" i="3"/>
  <c r="D61" i="3"/>
  <c r="C61" i="3"/>
  <c r="B61" i="3"/>
  <c r="D60" i="3"/>
  <c r="C60" i="3"/>
  <c r="B60" i="3"/>
  <c r="D59" i="3"/>
  <c r="C59" i="3"/>
  <c r="B59" i="3"/>
  <c r="D58" i="3"/>
  <c r="C58" i="3"/>
  <c r="B58" i="3"/>
  <c r="D57" i="3"/>
  <c r="C57" i="3"/>
  <c r="B57" i="3"/>
  <c r="D56" i="3"/>
  <c r="C56" i="3"/>
  <c r="B56" i="3"/>
  <c r="D55" i="3"/>
  <c r="C55" i="3"/>
  <c r="B55" i="3"/>
  <c r="D54" i="3"/>
  <c r="C54" i="3"/>
  <c r="B54" i="3"/>
  <c r="D53" i="3"/>
  <c r="C53" i="3"/>
  <c r="B53" i="3"/>
  <c r="D52" i="3"/>
  <c r="C52" i="3"/>
  <c r="B52" i="3"/>
  <c r="D51" i="3"/>
  <c r="C51" i="3"/>
  <c r="B51" i="3"/>
  <c r="D50" i="3"/>
  <c r="C50" i="3"/>
  <c r="B50" i="3"/>
  <c r="D49" i="3"/>
  <c r="C49" i="3"/>
  <c r="B49" i="3"/>
  <c r="D48" i="3"/>
  <c r="C48" i="3"/>
  <c r="B48" i="3"/>
  <c r="D47" i="3"/>
  <c r="C47" i="3"/>
  <c r="B47" i="3"/>
  <c r="D46" i="3"/>
  <c r="C46" i="3"/>
  <c r="B46" i="3"/>
  <c r="D45" i="3"/>
  <c r="C45" i="3"/>
  <c r="B45" i="3"/>
  <c r="D44" i="3"/>
  <c r="C44" i="3"/>
  <c r="B44" i="3"/>
  <c r="D43" i="3"/>
  <c r="C43" i="3"/>
  <c r="B43" i="3"/>
  <c r="D42" i="3"/>
  <c r="C42" i="3"/>
  <c r="B42" i="3"/>
  <c r="D41" i="3"/>
  <c r="C41" i="3"/>
  <c r="B41" i="3"/>
  <c r="D40" i="3"/>
  <c r="C40" i="3"/>
  <c r="B40" i="3"/>
  <c r="D39" i="3"/>
  <c r="C39" i="3"/>
  <c r="B39" i="3"/>
  <c r="D38" i="3"/>
  <c r="C38" i="3"/>
  <c r="B38" i="3"/>
  <c r="D37" i="3"/>
  <c r="C37" i="3"/>
  <c r="B37" i="3"/>
  <c r="D36" i="3"/>
  <c r="C36" i="3"/>
  <c r="B36" i="3"/>
  <c r="D35" i="3"/>
  <c r="C35" i="3"/>
  <c r="B35" i="3"/>
  <c r="D34" i="3"/>
  <c r="C34" i="3"/>
  <c r="B34" i="3"/>
  <c r="D33" i="3"/>
  <c r="C33" i="3"/>
  <c r="B33" i="3"/>
  <c r="D32" i="3"/>
  <c r="C32" i="3"/>
  <c r="B32" i="3"/>
  <c r="D31" i="3"/>
  <c r="C31" i="3"/>
  <c r="B31" i="3"/>
  <c r="D30" i="3"/>
  <c r="C30" i="3"/>
  <c r="B30" i="3"/>
  <c r="D29" i="3"/>
  <c r="C29" i="3"/>
  <c r="B29" i="3"/>
  <c r="D28" i="3"/>
  <c r="C28" i="3"/>
  <c r="B28" i="3"/>
  <c r="D27" i="3"/>
  <c r="C27" i="3"/>
  <c r="B27" i="3"/>
  <c r="D26" i="3"/>
  <c r="C26" i="3"/>
  <c r="B26" i="3"/>
  <c r="D25" i="3"/>
  <c r="C25" i="3"/>
  <c r="B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C13" i="3"/>
  <c r="B13" i="3"/>
  <c r="A13" i="3"/>
  <c r="C7" i="3"/>
  <c r="B7" i="3"/>
  <c r="A7" i="3"/>
  <c r="C6" i="3"/>
  <c r="B6" i="3"/>
  <c r="A6" i="3"/>
  <c r="C5" i="3"/>
  <c r="B5" i="3"/>
  <c r="A5" i="3"/>
  <c r="B15" i="2"/>
  <c r="B14" i="2"/>
  <c r="B13" i="2"/>
  <c r="B12" i="2"/>
  <c r="B11" i="2"/>
  <c r="B10" i="2"/>
  <c r="B9" i="2"/>
  <c r="B8" i="2"/>
  <c r="B7" i="2"/>
  <c r="B6" i="2"/>
  <c r="B4" i="2"/>
  <c r="B3" i="2"/>
  <c r="W251" i="1"/>
  <c r="V251" i="1"/>
  <c r="U251" i="1"/>
  <c r="T251" i="1"/>
  <c r="S251" i="1"/>
  <c r="R251" i="1"/>
  <c r="W250" i="1"/>
  <c r="V250" i="1"/>
  <c r="U250" i="1"/>
  <c r="T250" i="1"/>
  <c r="S250" i="1"/>
  <c r="R250" i="1"/>
  <c r="W249" i="1"/>
  <c r="V249" i="1"/>
  <c r="U249" i="1"/>
  <c r="T249" i="1"/>
  <c r="S249" i="1"/>
  <c r="R249" i="1"/>
  <c r="W248" i="1"/>
  <c r="V248" i="1"/>
  <c r="U248" i="1"/>
  <c r="T248" i="1"/>
  <c r="S248" i="1"/>
  <c r="R248" i="1"/>
  <c r="W247" i="1"/>
  <c r="V247" i="1"/>
  <c r="U247" i="1"/>
  <c r="T247" i="1"/>
  <c r="S247" i="1"/>
  <c r="R247" i="1"/>
  <c r="W246" i="1"/>
  <c r="V246" i="1"/>
  <c r="U246" i="1"/>
  <c r="T246" i="1"/>
  <c r="S246" i="1"/>
  <c r="R246" i="1"/>
  <c r="W245" i="1"/>
  <c r="V245" i="1"/>
  <c r="U245" i="1"/>
  <c r="T245" i="1"/>
  <c r="S245" i="1"/>
  <c r="R245" i="1"/>
  <c r="W244" i="1"/>
  <c r="V244" i="1"/>
  <c r="U244" i="1"/>
  <c r="T244" i="1"/>
  <c r="S244" i="1"/>
  <c r="R244" i="1"/>
  <c r="W243" i="1"/>
  <c r="V243" i="1"/>
  <c r="U243" i="1"/>
  <c r="T243" i="1"/>
  <c r="S243" i="1"/>
  <c r="R243" i="1"/>
  <c r="W242" i="1"/>
  <c r="V242" i="1"/>
  <c r="U242" i="1"/>
  <c r="T242" i="1"/>
  <c r="S242" i="1"/>
  <c r="R242" i="1"/>
  <c r="W241" i="1"/>
  <c r="V241" i="1"/>
  <c r="U241" i="1"/>
  <c r="T241" i="1"/>
  <c r="S241" i="1"/>
  <c r="R241" i="1"/>
  <c r="W240" i="1"/>
  <c r="V240" i="1"/>
  <c r="U240" i="1"/>
  <c r="T240" i="1"/>
  <c r="S240" i="1"/>
  <c r="R240" i="1"/>
  <c r="W239" i="1"/>
  <c r="V239" i="1"/>
  <c r="U239" i="1"/>
  <c r="T239" i="1"/>
  <c r="S239" i="1"/>
  <c r="R239" i="1"/>
  <c r="W238" i="1"/>
  <c r="V238" i="1"/>
  <c r="U238" i="1"/>
  <c r="T238" i="1"/>
  <c r="S238" i="1"/>
  <c r="R238" i="1"/>
  <c r="W237" i="1"/>
  <c r="V237" i="1"/>
  <c r="U237" i="1"/>
  <c r="T237" i="1"/>
  <c r="S237" i="1"/>
  <c r="R237" i="1"/>
  <c r="W236" i="1"/>
  <c r="V236" i="1"/>
  <c r="U236" i="1"/>
  <c r="T236" i="1"/>
  <c r="S236" i="1"/>
  <c r="R236" i="1"/>
  <c r="W235" i="1"/>
  <c r="V235" i="1"/>
  <c r="U235" i="1"/>
  <c r="T235" i="1"/>
  <c r="S235" i="1"/>
  <c r="R235" i="1"/>
  <c r="W234" i="1"/>
  <c r="V234" i="1"/>
  <c r="U234" i="1"/>
  <c r="T234" i="1"/>
  <c r="S234" i="1"/>
  <c r="R234" i="1"/>
  <c r="W233" i="1"/>
  <c r="V233" i="1"/>
  <c r="U233" i="1"/>
  <c r="T233" i="1"/>
  <c r="S233" i="1"/>
  <c r="R233" i="1"/>
  <c r="W232" i="1"/>
  <c r="V232" i="1"/>
  <c r="U232" i="1"/>
  <c r="T232" i="1"/>
  <c r="S232" i="1"/>
  <c r="R232" i="1"/>
  <c r="W231" i="1"/>
  <c r="V231" i="1"/>
  <c r="U231" i="1"/>
  <c r="T231" i="1"/>
  <c r="S231" i="1"/>
  <c r="R231" i="1"/>
  <c r="W230" i="1"/>
  <c r="V230" i="1"/>
  <c r="U230" i="1"/>
  <c r="T230" i="1"/>
  <c r="S230" i="1"/>
  <c r="R230" i="1"/>
  <c r="W229" i="1"/>
  <c r="V229" i="1"/>
  <c r="U229" i="1"/>
  <c r="T229" i="1"/>
  <c r="S229" i="1"/>
  <c r="R229" i="1"/>
  <c r="W228" i="1"/>
  <c r="V228" i="1"/>
  <c r="U228" i="1"/>
  <c r="T228" i="1"/>
  <c r="S228" i="1"/>
  <c r="R228" i="1"/>
  <c r="W227" i="1"/>
  <c r="V227" i="1"/>
  <c r="U227" i="1"/>
  <c r="T227" i="1"/>
  <c r="S227" i="1"/>
  <c r="R227" i="1"/>
  <c r="W226" i="1"/>
  <c r="V226" i="1"/>
  <c r="U226" i="1"/>
  <c r="T226" i="1"/>
  <c r="S226" i="1"/>
  <c r="R226" i="1"/>
  <c r="W225" i="1"/>
  <c r="V225" i="1"/>
  <c r="U225" i="1"/>
  <c r="T225" i="1"/>
  <c r="S225" i="1"/>
  <c r="R225" i="1"/>
  <c r="W224" i="1"/>
  <c r="V224" i="1"/>
  <c r="U224" i="1"/>
  <c r="T224" i="1"/>
  <c r="S224" i="1"/>
  <c r="R224" i="1"/>
  <c r="W223" i="1"/>
  <c r="V223" i="1"/>
  <c r="U223" i="1"/>
  <c r="T223" i="1"/>
  <c r="S223" i="1"/>
  <c r="R223" i="1"/>
  <c r="W222" i="1"/>
  <c r="V222" i="1"/>
  <c r="U222" i="1"/>
  <c r="T222" i="1"/>
  <c r="S222" i="1"/>
  <c r="R222" i="1"/>
  <c r="W221" i="1"/>
  <c r="V221" i="1"/>
  <c r="U221" i="1"/>
  <c r="T221" i="1"/>
  <c r="S221" i="1"/>
  <c r="R221" i="1"/>
  <c r="W220" i="1"/>
  <c r="V220" i="1"/>
  <c r="U220" i="1"/>
  <c r="T220" i="1"/>
  <c r="S220" i="1"/>
  <c r="R220" i="1"/>
  <c r="W219" i="1"/>
  <c r="V219" i="1"/>
  <c r="U219" i="1"/>
  <c r="T219" i="1"/>
  <c r="S219" i="1"/>
  <c r="R219" i="1"/>
  <c r="W218" i="1"/>
  <c r="V218" i="1"/>
  <c r="U218" i="1"/>
  <c r="T218" i="1"/>
  <c r="S218" i="1"/>
  <c r="R218" i="1"/>
  <c r="W217" i="1"/>
  <c r="V217" i="1"/>
  <c r="U217" i="1"/>
  <c r="T217" i="1"/>
  <c r="S217" i="1"/>
  <c r="R217" i="1"/>
  <c r="W216" i="1"/>
  <c r="V216" i="1"/>
  <c r="U216" i="1"/>
  <c r="T216" i="1"/>
  <c r="S216" i="1"/>
  <c r="R216" i="1"/>
  <c r="W215" i="1"/>
  <c r="V215" i="1"/>
  <c r="U215" i="1"/>
  <c r="T215" i="1"/>
  <c r="S215" i="1"/>
  <c r="R215" i="1"/>
  <c r="W214" i="1"/>
  <c r="V214" i="1"/>
  <c r="U214" i="1"/>
  <c r="T214" i="1"/>
  <c r="S214" i="1"/>
  <c r="R214" i="1"/>
  <c r="W213" i="1"/>
  <c r="V213" i="1"/>
  <c r="U213" i="1"/>
  <c r="T213" i="1"/>
  <c r="S213" i="1"/>
  <c r="R213" i="1"/>
  <c r="W212" i="1"/>
  <c r="V212" i="1"/>
  <c r="U212" i="1"/>
  <c r="T212" i="1"/>
  <c r="S212" i="1"/>
  <c r="R212" i="1"/>
  <c r="W211" i="1"/>
  <c r="V211" i="1"/>
  <c r="U211" i="1"/>
  <c r="T211" i="1"/>
  <c r="S211" i="1"/>
  <c r="R211" i="1"/>
  <c r="W210" i="1"/>
  <c r="V210" i="1"/>
  <c r="U210" i="1"/>
  <c r="T210" i="1"/>
  <c r="S210" i="1"/>
  <c r="R210" i="1"/>
  <c r="W209" i="1"/>
  <c r="V209" i="1"/>
  <c r="U209" i="1"/>
  <c r="T209" i="1"/>
  <c r="S209" i="1"/>
  <c r="R209" i="1"/>
  <c r="W208" i="1"/>
  <c r="V208" i="1"/>
  <c r="U208" i="1"/>
  <c r="T208" i="1"/>
  <c r="S208" i="1"/>
  <c r="R208" i="1"/>
  <c r="W207" i="1"/>
  <c r="V207" i="1"/>
  <c r="U207" i="1"/>
  <c r="T207" i="1"/>
  <c r="S207" i="1"/>
  <c r="R207" i="1"/>
  <c r="W206" i="1"/>
  <c r="V206" i="1"/>
  <c r="U206" i="1"/>
  <c r="T206" i="1"/>
  <c r="S206" i="1"/>
  <c r="R206" i="1"/>
  <c r="W205" i="1"/>
  <c r="V205" i="1"/>
  <c r="U205" i="1"/>
  <c r="T205" i="1"/>
  <c r="S205" i="1"/>
  <c r="R205" i="1"/>
  <c r="W204" i="1"/>
  <c r="V204" i="1"/>
  <c r="U204" i="1"/>
  <c r="T204" i="1"/>
  <c r="S204" i="1"/>
  <c r="R204" i="1"/>
  <c r="W203" i="1"/>
  <c r="V203" i="1"/>
  <c r="U203" i="1"/>
  <c r="T203" i="1"/>
  <c r="S203" i="1"/>
  <c r="R203" i="1"/>
  <c r="W202" i="1"/>
  <c r="V202" i="1"/>
  <c r="U202" i="1"/>
  <c r="T202" i="1"/>
  <c r="S202" i="1"/>
  <c r="R202" i="1"/>
  <c r="W201" i="1"/>
  <c r="V201" i="1"/>
  <c r="U201" i="1"/>
  <c r="T201" i="1"/>
  <c r="S201" i="1"/>
  <c r="R201" i="1"/>
  <c r="W200" i="1"/>
  <c r="V200" i="1"/>
  <c r="U200" i="1"/>
  <c r="T200" i="1"/>
  <c r="S200" i="1"/>
  <c r="R200" i="1"/>
  <c r="W199" i="1"/>
  <c r="V199" i="1"/>
  <c r="U199" i="1"/>
  <c r="T199" i="1"/>
  <c r="S199" i="1"/>
  <c r="R199" i="1"/>
  <c r="W198" i="1"/>
  <c r="V198" i="1"/>
  <c r="U198" i="1"/>
  <c r="T198" i="1"/>
  <c r="S198" i="1"/>
  <c r="R198" i="1"/>
  <c r="W197" i="1"/>
  <c r="V197" i="1"/>
  <c r="U197" i="1"/>
  <c r="T197" i="1"/>
  <c r="S197" i="1"/>
  <c r="R197" i="1"/>
  <c r="W196" i="1"/>
  <c r="V196" i="1"/>
  <c r="U196" i="1"/>
  <c r="T196" i="1"/>
  <c r="S196" i="1"/>
  <c r="R196" i="1"/>
  <c r="W195" i="1"/>
  <c r="V195" i="1"/>
  <c r="U195" i="1"/>
  <c r="T195" i="1"/>
  <c r="S195" i="1"/>
  <c r="R195" i="1"/>
  <c r="W194" i="1"/>
  <c r="V194" i="1"/>
  <c r="U194" i="1"/>
  <c r="T194" i="1"/>
  <c r="S194" i="1"/>
  <c r="R194" i="1"/>
  <c r="W193" i="1"/>
  <c r="V193" i="1"/>
  <c r="U193" i="1"/>
  <c r="T193" i="1"/>
  <c r="S193" i="1"/>
  <c r="R193" i="1"/>
  <c r="W192" i="1"/>
  <c r="V192" i="1"/>
  <c r="U192" i="1"/>
  <c r="T192" i="1"/>
  <c r="S192" i="1"/>
  <c r="R192" i="1"/>
  <c r="W191" i="1"/>
  <c r="V191" i="1"/>
  <c r="U191" i="1"/>
  <c r="T191" i="1"/>
  <c r="S191" i="1"/>
  <c r="R191" i="1"/>
  <c r="W190" i="1"/>
  <c r="V190" i="1"/>
  <c r="U190" i="1"/>
  <c r="T190" i="1"/>
  <c r="S190" i="1"/>
  <c r="R190" i="1"/>
  <c r="W189" i="1"/>
  <c r="V189" i="1"/>
  <c r="U189" i="1"/>
  <c r="T189" i="1"/>
  <c r="S189" i="1"/>
  <c r="R189" i="1"/>
  <c r="W188" i="1"/>
  <c r="V188" i="1"/>
  <c r="U188" i="1"/>
  <c r="T188" i="1"/>
  <c r="S188" i="1"/>
  <c r="R188" i="1"/>
  <c r="W187" i="1"/>
  <c r="V187" i="1"/>
  <c r="U187" i="1"/>
  <c r="T187" i="1"/>
  <c r="S187" i="1"/>
  <c r="R187" i="1"/>
  <c r="W186" i="1"/>
  <c r="V186" i="1"/>
  <c r="U186" i="1"/>
  <c r="T186" i="1"/>
  <c r="S186" i="1"/>
  <c r="R186" i="1"/>
  <c r="W185" i="1"/>
  <c r="V185" i="1"/>
  <c r="U185" i="1"/>
  <c r="T185" i="1"/>
  <c r="S185" i="1"/>
  <c r="R185" i="1"/>
  <c r="W184" i="1"/>
  <c r="V184" i="1"/>
  <c r="U184" i="1"/>
  <c r="T184" i="1"/>
  <c r="S184" i="1"/>
  <c r="R184" i="1"/>
  <c r="W183" i="1"/>
  <c r="V183" i="1"/>
  <c r="U183" i="1"/>
  <c r="T183" i="1"/>
  <c r="S183" i="1"/>
  <c r="R183" i="1"/>
  <c r="W182" i="1"/>
  <c r="V182" i="1"/>
  <c r="U182" i="1"/>
  <c r="T182" i="1"/>
  <c r="S182" i="1"/>
  <c r="R182" i="1"/>
  <c r="W181" i="1"/>
  <c r="V181" i="1"/>
  <c r="U181" i="1"/>
  <c r="T181" i="1"/>
  <c r="S181" i="1"/>
  <c r="R181" i="1"/>
  <c r="W180" i="1"/>
  <c r="V180" i="1"/>
  <c r="U180" i="1"/>
  <c r="T180" i="1"/>
  <c r="S180" i="1"/>
  <c r="R180" i="1"/>
  <c r="W179" i="1"/>
  <c r="V179" i="1"/>
  <c r="U179" i="1"/>
  <c r="T179" i="1"/>
  <c r="S179" i="1"/>
  <c r="R179" i="1"/>
  <c r="W178" i="1"/>
  <c r="V178" i="1"/>
  <c r="U178" i="1"/>
  <c r="T178" i="1"/>
  <c r="S178" i="1"/>
  <c r="R178" i="1"/>
  <c r="W177" i="1"/>
  <c r="V177" i="1"/>
  <c r="U177" i="1"/>
  <c r="T177" i="1"/>
  <c r="S177" i="1"/>
  <c r="R177" i="1"/>
  <c r="W176" i="1"/>
  <c r="V176" i="1"/>
  <c r="U176" i="1"/>
  <c r="T176" i="1"/>
  <c r="S176" i="1"/>
  <c r="R176" i="1"/>
  <c r="W175" i="1"/>
  <c r="V175" i="1"/>
  <c r="U175" i="1"/>
  <c r="T175" i="1"/>
  <c r="S175" i="1"/>
  <c r="R175" i="1"/>
  <c r="W174" i="1"/>
  <c r="V174" i="1"/>
  <c r="U174" i="1"/>
  <c r="T174" i="1"/>
  <c r="S174" i="1"/>
  <c r="R174" i="1"/>
  <c r="W173" i="1"/>
  <c r="V173" i="1"/>
  <c r="U173" i="1"/>
  <c r="T173" i="1"/>
  <c r="S173" i="1"/>
  <c r="R173" i="1"/>
  <c r="W172" i="1"/>
  <c r="V172" i="1"/>
  <c r="U172" i="1"/>
  <c r="T172" i="1"/>
  <c r="S172" i="1"/>
  <c r="R172" i="1"/>
  <c r="W171" i="1"/>
  <c r="V171" i="1"/>
  <c r="U171" i="1"/>
  <c r="T171" i="1"/>
  <c r="S171" i="1"/>
  <c r="R171" i="1"/>
  <c r="W170" i="1"/>
  <c r="V170" i="1"/>
  <c r="U170" i="1"/>
  <c r="T170" i="1"/>
  <c r="S170" i="1"/>
  <c r="R170" i="1"/>
  <c r="W169" i="1"/>
  <c r="V169" i="1"/>
  <c r="U169" i="1"/>
  <c r="T169" i="1"/>
  <c r="S169" i="1"/>
  <c r="R169" i="1"/>
  <c r="W168" i="1"/>
  <c r="V168" i="1"/>
  <c r="U168" i="1"/>
  <c r="T168" i="1"/>
  <c r="S168" i="1"/>
  <c r="R168" i="1"/>
  <c r="W167" i="1"/>
  <c r="V167" i="1"/>
  <c r="U167" i="1"/>
  <c r="T167" i="1"/>
  <c r="S167" i="1"/>
  <c r="R167" i="1"/>
  <c r="W166" i="1"/>
  <c r="V166" i="1"/>
  <c r="U166" i="1"/>
  <c r="T166" i="1"/>
  <c r="S166" i="1"/>
  <c r="R166" i="1"/>
  <c r="W165" i="1"/>
  <c r="V165" i="1"/>
  <c r="U165" i="1"/>
  <c r="T165" i="1"/>
  <c r="S165" i="1"/>
  <c r="R165" i="1"/>
  <c r="W164" i="1"/>
  <c r="V164" i="1"/>
  <c r="U164" i="1"/>
  <c r="T164" i="1"/>
  <c r="S164" i="1"/>
  <c r="R164" i="1"/>
  <c r="W163" i="1"/>
  <c r="V163" i="1"/>
  <c r="U163" i="1"/>
  <c r="T163" i="1"/>
  <c r="S163" i="1"/>
  <c r="R163" i="1"/>
  <c r="W162" i="1"/>
  <c r="V162" i="1"/>
  <c r="U162" i="1"/>
  <c r="T162" i="1"/>
  <c r="S162" i="1"/>
  <c r="R162" i="1"/>
  <c r="W161" i="1"/>
  <c r="V161" i="1"/>
  <c r="U161" i="1"/>
  <c r="T161" i="1"/>
  <c r="S161" i="1"/>
  <c r="R161" i="1"/>
  <c r="W160" i="1"/>
  <c r="V160" i="1"/>
  <c r="U160" i="1"/>
  <c r="T160" i="1"/>
  <c r="S160" i="1"/>
  <c r="R160" i="1"/>
  <c r="W159" i="1"/>
  <c r="V159" i="1"/>
  <c r="U159" i="1"/>
  <c r="T159" i="1"/>
  <c r="S159" i="1"/>
  <c r="R159" i="1"/>
  <c r="W158" i="1"/>
  <c r="V158" i="1"/>
  <c r="U158" i="1"/>
  <c r="T158" i="1"/>
  <c r="S158" i="1"/>
  <c r="R158" i="1"/>
  <c r="W157" i="1"/>
  <c r="V157" i="1"/>
  <c r="U157" i="1"/>
  <c r="T157" i="1"/>
  <c r="S157" i="1"/>
  <c r="R157" i="1"/>
  <c r="W156" i="1"/>
  <c r="V156" i="1"/>
  <c r="U156" i="1"/>
  <c r="T156" i="1"/>
  <c r="S156" i="1"/>
  <c r="R156" i="1"/>
  <c r="W155" i="1"/>
  <c r="V155" i="1"/>
  <c r="U155" i="1"/>
  <c r="T155" i="1"/>
  <c r="S155" i="1"/>
  <c r="R155" i="1"/>
  <c r="W154" i="1"/>
  <c r="V154" i="1"/>
  <c r="U154" i="1"/>
  <c r="T154" i="1"/>
  <c r="S154" i="1"/>
  <c r="R154" i="1"/>
  <c r="W153" i="1"/>
  <c r="V153" i="1"/>
  <c r="U153" i="1"/>
  <c r="T153" i="1"/>
  <c r="S153" i="1"/>
  <c r="R153" i="1"/>
  <c r="W152" i="1"/>
  <c r="V152" i="1"/>
  <c r="U152" i="1"/>
  <c r="T152" i="1"/>
  <c r="S152" i="1"/>
  <c r="R152" i="1"/>
  <c r="W151" i="1"/>
  <c r="V151" i="1"/>
  <c r="U151" i="1"/>
  <c r="T151" i="1"/>
  <c r="S151" i="1"/>
  <c r="R151" i="1"/>
  <c r="W150" i="1"/>
  <c r="V150" i="1"/>
  <c r="U150" i="1"/>
  <c r="T150" i="1"/>
  <c r="S150" i="1"/>
  <c r="R150" i="1"/>
  <c r="W149" i="1"/>
  <c r="V149" i="1"/>
  <c r="U149" i="1"/>
  <c r="T149" i="1"/>
  <c r="S149" i="1"/>
  <c r="R149" i="1"/>
  <c r="W148" i="1"/>
  <c r="V148" i="1"/>
  <c r="U148" i="1"/>
  <c r="T148" i="1"/>
  <c r="S148" i="1"/>
  <c r="R148" i="1"/>
  <c r="W147" i="1"/>
  <c r="V147" i="1"/>
  <c r="U147" i="1"/>
  <c r="T147" i="1"/>
  <c r="S147" i="1"/>
  <c r="R147" i="1"/>
  <c r="W146" i="1"/>
  <c r="V146" i="1"/>
  <c r="U146" i="1"/>
  <c r="T146" i="1"/>
  <c r="S146" i="1"/>
  <c r="R146" i="1"/>
  <c r="W145" i="1"/>
  <c r="V145" i="1"/>
  <c r="U145" i="1"/>
  <c r="T145" i="1"/>
  <c r="S145" i="1"/>
  <c r="R145" i="1"/>
  <c r="W144" i="1"/>
  <c r="V144" i="1"/>
  <c r="U144" i="1"/>
  <c r="T144" i="1"/>
  <c r="S144" i="1"/>
  <c r="R144" i="1"/>
  <c r="W143" i="1"/>
  <c r="V143" i="1"/>
  <c r="U143" i="1"/>
  <c r="T143" i="1"/>
  <c r="S143" i="1"/>
  <c r="R143" i="1"/>
  <c r="W142" i="1"/>
  <c r="V142" i="1"/>
  <c r="U142" i="1"/>
  <c r="T142" i="1"/>
  <c r="S142" i="1"/>
  <c r="R142" i="1"/>
  <c r="W141" i="1"/>
  <c r="V141" i="1"/>
  <c r="U141" i="1"/>
  <c r="T141" i="1"/>
  <c r="S141" i="1"/>
  <c r="R141" i="1"/>
  <c r="W140" i="1"/>
  <c r="V140" i="1"/>
  <c r="U140" i="1"/>
  <c r="T140" i="1"/>
  <c r="S140" i="1"/>
  <c r="R140" i="1"/>
  <c r="W139" i="1"/>
  <c r="V139" i="1"/>
  <c r="U139" i="1"/>
  <c r="T139" i="1"/>
  <c r="S139" i="1"/>
  <c r="R139" i="1"/>
  <c r="W138" i="1"/>
  <c r="V138" i="1"/>
  <c r="U138" i="1"/>
  <c r="T138" i="1"/>
  <c r="S138" i="1"/>
  <c r="R138" i="1"/>
  <c r="W137" i="1"/>
  <c r="V137" i="1"/>
  <c r="U137" i="1"/>
  <c r="T137" i="1"/>
  <c r="S137" i="1"/>
  <c r="R137" i="1"/>
  <c r="W136" i="1"/>
  <c r="V136" i="1"/>
  <c r="U136" i="1"/>
  <c r="T136" i="1"/>
  <c r="S136" i="1"/>
  <c r="R136" i="1"/>
  <c r="W135" i="1"/>
  <c r="V135" i="1"/>
  <c r="U135" i="1"/>
  <c r="T135" i="1"/>
  <c r="S135" i="1"/>
  <c r="R135" i="1"/>
  <c r="W134" i="1"/>
  <c r="V134" i="1"/>
  <c r="U134" i="1"/>
  <c r="T134" i="1"/>
  <c r="S134" i="1"/>
  <c r="R134" i="1"/>
  <c r="W133" i="1"/>
  <c r="V133" i="1"/>
  <c r="U133" i="1"/>
  <c r="T133" i="1"/>
  <c r="S133" i="1"/>
  <c r="R133" i="1"/>
  <c r="W132" i="1"/>
  <c r="V132" i="1"/>
  <c r="U132" i="1"/>
  <c r="T132" i="1"/>
  <c r="S132" i="1"/>
  <c r="R132" i="1"/>
  <c r="W131" i="1"/>
  <c r="V131" i="1"/>
  <c r="U131" i="1"/>
  <c r="T131" i="1"/>
  <c r="S131" i="1"/>
  <c r="R131" i="1"/>
  <c r="W130" i="1"/>
  <c r="V130" i="1"/>
  <c r="U130" i="1"/>
  <c r="T130" i="1"/>
  <c r="S130" i="1"/>
  <c r="R130" i="1"/>
  <c r="W129" i="1"/>
  <c r="V129" i="1"/>
  <c r="U129" i="1"/>
  <c r="T129" i="1"/>
  <c r="S129" i="1"/>
  <c r="R129" i="1"/>
  <c r="W128" i="1"/>
  <c r="V128" i="1"/>
  <c r="U128" i="1"/>
  <c r="T128" i="1"/>
  <c r="S128" i="1"/>
  <c r="R128" i="1"/>
  <c r="W127" i="1"/>
  <c r="V127" i="1"/>
  <c r="U127" i="1"/>
  <c r="T127" i="1"/>
  <c r="S127" i="1"/>
  <c r="R127" i="1"/>
  <c r="W126" i="1"/>
  <c r="V126" i="1"/>
  <c r="U126" i="1"/>
  <c r="T126" i="1"/>
  <c r="S126" i="1"/>
  <c r="R126" i="1"/>
  <c r="W125" i="1"/>
  <c r="V125" i="1"/>
  <c r="U125" i="1"/>
  <c r="T125" i="1"/>
  <c r="S125" i="1"/>
  <c r="R125" i="1"/>
  <c r="W124" i="1"/>
  <c r="V124" i="1"/>
  <c r="U124" i="1"/>
  <c r="T124" i="1"/>
  <c r="S124" i="1"/>
  <c r="R124" i="1"/>
  <c r="W123" i="1"/>
  <c r="V123" i="1"/>
  <c r="U123" i="1"/>
  <c r="T123" i="1"/>
  <c r="S123" i="1"/>
  <c r="R123" i="1"/>
  <c r="W122" i="1"/>
  <c r="V122" i="1"/>
  <c r="U122" i="1"/>
  <c r="T122" i="1"/>
  <c r="S122" i="1"/>
  <c r="R122" i="1"/>
  <c r="W121" i="1"/>
  <c r="V121" i="1"/>
  <c r="U121" i="1"/>
  <c r="T121" i="1"/>
  <c r="S121" i="1"/>
  <c r="R121" i="1"/>
  <c r="W120" i="1"/>
  <c r="V120" i="1"/>
  <c r="U120" i="1"/>
  <c r="T120" i="1"/>
  <c r="S120" i="1"/>
  <c r="R120" i="1"/>
  <c r="W119" i="1"/>
  <c r="V119" i="1"/>
  <c r="U119" i="1"/>
  <c r="T119" i="1"/>
  <c r="S119" i="1"/>
  <c r="R119" i="1"/>
  <c r="W118" i="1"/>
  <c r="V118" i="1"/>
  <c r="U118" i="1"/>
  <c r="T118" i="1"/>
  <c r="S118" i="1"/>
  <c r="R118" i="1"/>
  <c r="W117" i="1"/>
  <c r="V117" i="1"/>
  <c r="U117" i="1"/>
  <c r="T117" i="1"/>
  <c r="S117" i="1"/>
  <c r="R117" i="1"/>
  <c r="W116" i="1"/>
  <c r="V116" i="1"/>
  <c r="U116" i="1"/>
  <c r="T116" i="1"/>
  <c r="S116" i="1"/>
  <c r="R116" i="1"/>
  <c r="W115" i="1"/>
  <c r="V115" i="1"/>
  <c r="U115" i="1"/>
  <c r="T115" i="1"/>
  <c r="S115" i="1"/>
  <c r="R115" i="1"/>
  <c r="W114" i="1"/>
  <c r="V114" i="1"/>
  <c r="U114" i="1"/>
  <c r="T114" i="1"/>
  <c r="S114" i="1"/>
  <c r="R114" i="1"/>
  <c r="W113" i="1"/>
  <c r="V113" i="1"/>
  <c r="U113" i="1"/>
  <c r="T113" i="1"/>
  <c r="S113" i="1"/>
  <c r="R113" i="1"/>
  <c r="W112" i="1"/>
  <c r="V112" i="1"/>
  <c r="U112" i="1"/>
  <c r="T112" i="1"/>
  <c r="S112" i="1"/>
  <c r="R112" i="1"/>
  <c r="W111" i="1"/>
  <c r="V111" i="1"/>
  <c r="U111" i="1"/>
  <c r="T111" i="1"/>
  <c r="S111" i="1"/>
  <c r="R111" i="1"/>
  <c r="W110" i="1"/>
  <c r="V110" i="1"/>
  <c r="U110" i="1"/>
  <c r="T110" i="1"/>
  <c r="S110" i="1"/>
  <c r="R110" i="1"/>
  <c r="W109" i="1"/>
  <c r="V109" i="1"/>
  <c r="U109" i="1"/>
  <c r="T109" i="1"/>
  <c r="S109" i="1"/>
  <c r="R109" i="1"/>
  <c r="W108" i="1"/>
  <c r="V108" i="1"/>
  <c r="U108" i="1"/>
  <c r="T108" i="1"/>
  <c r="S108" i="1"/>
  <c r="R108" i="1"/>
  <c r="W107" i="1"/>
  <c r="V107" i="1"/>
  <c r="U107" i="1"/>
  <c r="T107" i="1"/>
  <c r="S107" i="1"/>
  <c r="R107" i="1"/>
  <c r="W106" i="1"/>
  <c r="V106" i="1"/>
  <c r="U106" i="1"/>
  <c r="T106" i="1"/>
  <c r="S106" i="1"/>
  <c r="R106" i="1"/>
  <c r="W105" i="1"/>
  <c r="V105" i="1"/>
  <c r="U105" i="1"/>
  <c r="T105" i="1"/>
  <c r="S105" i="1"/>
  <c r="R105" i="1"/>
  <c r="W104" i="1"/>
  <c r="V104" i="1"/>
  <c r="U104" i="1"/>
  <c r="T104" i="1"/>
  <c r="S104" i="1"/>
  <c r="R104" i="1"/>
  <c r="W103" i="1"/>
  <c r="V103" i="1"/>
  <c r="U103" i="1"/>
  <c r="T103" i="1"/>
  <c r="S103" i="1"/>
  <c r="R103" i="1"/>
  <c r="W102" i="1"/>
  <c r="V102" i="1"/>
  <c r="U102" i="1"/>
  <c r="T102" i="1"/>
  <c r="S102" i="1"/>
  <c r="R102" i="1"/>
  <c r="W101" i="1"/>
  <c r="V101" i="1"/>
  <c r="U101" i="1"/>
  <c r="T101" i="1"/>
  <c r="S101" i="1"/>
  <c r="R101" i="1"/>
  <c r="W100" i="1"/>
  <c r="V100" i="1"/>
  <c r="U100" i="1"/>
  <c r="T100" i="1"/>
  <c r="S100" i="1"/>
  <c r="R100" i="1"/>
  <c r="W99" i="1"/>
  <c r="V99" i="1"/>
  <c r="U99" i="1"/>
  <c r="T99" i="1"/>
  <c r="S99" i="1"/>
  <c r="R99" i="1"/>
  <c r="W98" i="1"/>
  <c r="V98" i="1"/>
  <c r="U98" i="1"/>
  <c r="T98" i="1"/>
  <c r="S98" i="1"/>
  <c r="R98" i="1"/>
  <c r="W97" i="1"/>
  <c r="V97" i="1"/>
  <c r="U97" i="1"/>
  <c r="T97" i="1"/>
  <c r="S97" i="1"/>
  <c r="R97" i="1"/>
  <c r="W96" i="1"/>
  <c r="V96" i="1"/>
  <c r="U96" i="1"/>
  <c r="T96" i="1"/>
  <c r="S96" i="1"/>
  <c r="R96" i="1"/>
  <c r="W95" i="1"/>
  <c r="V95" i="1"/>
  <c r="U95" i="1"/>
  <c r="T95" i="1"/>
  <c r="S95" i="1"/>
  <c r="B5" i="2" s="1"/>
  <c r="R95" i="1"/>
  <c r="W94" i="1"/>
  <c r="V94" i="1"/>
  <c r="U94" i="1"/>
  <c r="T94" i="1"/>
  <c r="S94" i="1"/>
  <c r="R94" i="1"/>
  <c r="W93" i="1"/>
  <c r="V93" i="1"/>
  <c r="U93" i="1"/>
  <c r="T93" i="1"/>
  <c r="S93" i="1"/>
  <c r="R93" i="1"/>
  <c r="W92" i="1"/>
  <c r="V92" i="1"/>
  <c r="U92" i="1"/>
  <c r="T92" i="1"/>
  <c r="S92" i="1"/>
  <c r="R92" i="1"/>
  <c r="W91" i="1"/>
  <c r="V91" i="1"/>
  <c r="U91" i="1"/>
  <c r="T91" i="1"/>
  <c r="S91" i="1"/>
  <c r="R91" i="1"/>
  <c r="W90" i="1"/>
  <c r="V90" i="1"/>
  <c r="U90" i="1"/>
  <c r="T90" i="1"/>
  <c r="S90" i="1"/>
  <c r="R90" i="1"/>
  <c r="W89" i="1"/>
  <c r="V89" i="1"/>
  <c r="U89" i="1"/>
  <c r="T89" i="1"/>
  <c r="S89" i="1"/>
  <c r="R89" i="1"/>
  <c r="W88" i="1"/>
  <c r="V88" i="1"/>
  <c r="U88" i="1"/>
  <c r="T88" i="1"/>
  <c r="S88" i="1"/>
  <c r="R88" i="1"/>
  <c r="W87" i="1"/>
  <c r="V87" i="1"/>
  <c r="U87" i="1"/>
  <c r="T87" i="1"/>
  <c r="S87" i="1"/>
  <c r="R87" i="1"/>
  <c r="W86" i="1"/>
  <c r="V86" i="1"/>
  <c r="U86" i="1"/>
  <c r="T86" i="1"/>
  <c r="S86" i="1"/>
  <c r="R86" i="1"/>
  <c r="W85" i="1"/>
  <c r="V85" i="1"/>
  <c r="U85" i="1"/>
  <c r="T85" i="1"/>
  <c r="S85" i="1"/>
  <c r="R85" i="1"/>
  <c r="W84" i="1"/>
  <c r="V84" i="1"/>
  <c r="U84" i="1"/>
  <c r="T84" i="1"/>
  <c r="S84" i="1"/>
  <c r="R84" i="1"/>
  <c r="W83" i="1"/>
  <c r="V83" i="1"/>
  <c r="U83" i="1"/>
  <c r="T83" i="1"/>
  <c r="S83" i="1"/>
  <c r="R83" i="1"/>
  <c r="W82" i="1"/>
  <c r="V82" i="1"/>
  <c r="U82" i="1"/>
  <c r="T82" i="1"/>
  <c r="S82" i="1"/>
  <c r="R82" i="1"/>
  <c r="W81" i="1"/>
  <c r="V81" i="1"/>
  <c r="U81" i="1"/>
  <c r="T81" i="1"/>
  <c r="S81" i="1"/>
  <c r="R81" i="1"/>
  <c r="W80" i="1"/>
  <c r="V80" i="1"/>
  <c r="U80" i="1"/>
  <c r="T80" i="1"/>
  <c r="S80" i="1"/>
  <c r="R80" i="1"/>
  <c r="W79" i="1"/>
  <c r="V79" i="1"/>
  <c r="U79" i="1"/>
  <c r="T79" i="1"/>
  <c r="S79" i="1"/>
  <c r="R79" i="1"/>
  <c r="W78" i="1"/>
  <c r="V78" i="1"/>
  <c r="U78" i="1"/>
  <c r="T78" i="1"/>
  <c r="S78" i="1"/>
  <c r="R78" i="1"/>
  <c r="W77" i="1"/>
  <c r="V77" i="1"/>
  <c r="U77" i="1"/>
  <c r="T77" i="1"/>
  <c r="S77" i="1"/>
  <c r="R77" i="1"/>
  <c r="W76" i="1"/>
  <c r="V76" i="1"/>
  <c r="U76" i="1"/>
  <c r="T76" i="1"/>
  <c r="S76" i="1"/>
  <c r="R76" i="1"/>
  <c r="W75" i="1"/>
  <c r="V75" i="1"/>
  <c r="U75" i="1"/>
  <c r="T75" i="1"/>
  <c r="S75" i="1"/>
  <c r="R75" i="1"/>
  <c r="W74" i="1"/>
  <c r="V74" i="1"/>
  <c r="U74" i="1"/>
  <c r="T74" i="1"/>
  <c r="S74" i="1"/>
  <c r="R74" i="1"/>
  <c r="W73" i="1"/>
  <c r="V73" i="1"/>
  <c r="U73" i="1"/>
  <c r="T73" i="1"/>
  <c r="S73" i="1"/>
  <c r="R73" i="1"/>
  <c r="W72" i="1"/>
  <c r="V72" i="1"/>
  <c r="U72" i="1"/>
  <c r="T72" i="1"/>
  <c r="S72" i="1"/>
  <c r="R72" i="1"/>
  <c r="W71" i="1"/>
  <c r="V71" i="1"/>
  <c r="U71" i="1"/>
  <c r="T71" i="1"/>
  <c r="S71" i="1"/>
  <c r="R71" i="1"/>
  <c r="W70" i="1"/>
  <c r="V70" i="1"/>
  <c r="U70" i="1"/>
  <c r="T70" i="1"/>
  <c r="S70" i="1"/>
  <c r="R70" i="1"/>
  <c r="W69" i="1"/>
  <c r="V69" i="1"/>
  <c r="U69" i="1"/>
  <c r="T69" i="1"/>
  <c r="S69" i="1"/>
  <c r="R69" i="1"/>
  <c r="W68" i="1"/>
  <c r="V68" i="1"/>
  <c r="U68" i="1"/>
  <c r="T68" i="1"/>
  <c r="S68" i="1"/>
  <c r="R68" i="1"/>
  <c r="W67" i="1"/>
  <c r="V67" i="1"/>
  <c r="U67" i="1"/>
  <c r="T67" i="1"/>
  <c r="S67" i="1"/>
  <c r="R67" i="1"/>
  <c r="W66" i="1"/>
  <c r="V66" i="1"/>
  <c r="U66" i="1"/>
  <c r="T66" i="1"/>
  <c r="S66" i="1"/>
  <c r="R66" i="1"/>
  <c r="W65" i="1"/>
  <c r="V65" i="1"/>
  <c r="U65" i="1"/>
  <c r="T65" i="1"/>
  <c r="S65" i="1"/>
  <c r="R65" i="1"/>
  <c r="W64" i="1"/>
  <c r="V64" i="1"/>
  <c r="U64" i="1"/>
  <c r="T64" i="1"/>
  <c r="S64" i="1"/>
  <c r="R64" i="1"/>
  <c r="W63" i="1"/>
  <c r="V63" i="1"/>
  <c r="U63" i="1"/>
  <c r="T63" i="1"/>
  <c r="S63" i="1"/>
  <c r="R63" i="1"/>
  <c r="W62" i="1"/>
  <c r="V62" i="1"/>
  <c r="U62" i="1"/>
  <c r="T62" i="1"/>
  <c r="S62" i="1"/>
  <c r="R62" i="1"/>
  <c r="W61" i="1"/>
  <c r="V61" i="1"/>
  <c r="U61" i="1"/>
  <c r="T61" i="1"/>
  <c r="S61" i="1"/>
  <c r="R61" i="1"/>
  <c r="W60" i="1"/>
  <c r="V60" i="1"/>
  <c r="U60" i="1"/>
  <c r="T60" i="1"/>
  <c r="S60" i="1"/>
  <c r="R60" i="1"/>
  <c r="W59" i="1"/>
  <c r="V59" i="1"/>
  <c r="U59" i="1"/>
  <c r="T59" i="1"/>
  <c r="S59" i="1"/>
  <c r="R59" i="1"/>
  <c r="W58" i="1"/>
  <c r="V58" i="1"/>
  <c r="U58" i="1"/>
  <c r="T58" i="1"/>
  <c r="S58" i="1"/>
  <c r="R58" i="1"/>
  <c r="W57" i="1"/>
  <c r="V57" i="1"/>
  <c r="U57" i="1"/>
  <c r="T57" i="1"/>
  <c r="S57" i="1"/>
  <c r="R57" i="1"/>
  <c r="W56" i="1"/>
  <c r="V56" i="1"/>
  <c r="U56" i="1"/>
  <c r="T56" i="1"/>
  <c r="S56" i="1"/>
  <c r="R56" i="1"/>
  <c r="W55" i="1"/>
  <c r="V55" i="1"/>
  <c r="U55" i="1"/>
  <c r="T55" i="1"/>
  <c r="S55" i="1"/>
  <c r="R55" i="1"/>
  <c r="W54" i="1"/>
  <c r="V54" i="1"/>
  <c r="U54" i="1"/>
  <c r="T54" i="1"/>
  <c r="S54" i="1"/>
  <c r="R54" i="1"/>
  <c r="W53" i="1"/>
  <c r="V53" i="1"/>
  <c r="U53" i="1"/>
  <c r="T53" i="1"/>
  <c r="S53" i="1"/>
  <c r="R53" i="1"/>
  <c r="W52" i="1"/>
  <c r="V52" i="1"/>
  <c r="U52" i="1"/>
  <c r="T52" i="1"/>
  <c r="S52" i="1"/>
  <c r="R52" i="1"/>
  <c r="W51" i="1"/>
  <c r="V51" i="1"/>
  <c r="U51" i="1"/>
  <c r="T51" i="1"/>
  <c r="S51" i="1"/>
  <c r="R51" i="1"/>
  <c r="W50" i="1"/>
  <c r="V50" i="1"/>
  <c r="U50" i="1"/>
  <c r="T50" i="1"/>
  <c r="S50" i="1"/>
  <c r="R50" i="1"/>
  <c r="W49" i="1"/>
  <c r="V49" i="1"/>
  <c r="U49" i="1"/>
  <c r="T49" i="1"/>
  <c r="S49" i="1"/>
  <c r="R49" i="1"/>
  <c r="W48" i="1"/>
  <c r="V48" i="1"/>
  <c r="U48" i="1"/>
  <c r="T48" i="1"/>
  <c r="S48" i="1"/>
  <c r="R48" i="1"/>
  <c r="W47" i="1"/>
  <c r="V47" i="1"/>
  <c r="U47" i="1"/>
  <c r="T47" i="1"/>
  <c r="S47" i="1"/>
  <c r="R47" i="1"/>
  <c r="W46" i="1"/>
  <c r="V46" i="1"/>
  <c r="U46" i="1"/>
  <c r="T46" i="1"/>
  <c r="S46" i="1"/>
  <c r="R46" i="1"/>
  <c r="W45" i="1"/>
  <c r="V45" i="1"/>
  <c r="U45" i="1"/>
  <c r="T45" i="1"/>
  <c r="S45" i="1"/>
  <c r="R45" i="1"/>
  <c r="W44" i="1"/>
  <c r="V44" i="1"/>
  <c r="U44" i="1"/>
  <c r="T44" i="1"/>
  <c r="S44" i="1"/>
  <c r="R44" i="1"/>
  <c r="W43" i="1"/>
  <c r="V43" i="1"/>
  <c r="U43" i="1"/>
  <c r="T43" i="1"/>
  <c r="S43" i="1"/>
  <c r="R43" i="1"/>
  <c r="W42" i="1"/>
  <c r="V42" i="1"/>
  <c r="U42" i="1"/>
  <c r="T42" i="1"/>
  <c r="S42" i="1"/>
  <c r="R42" i="1"/>
  <c r="W41" i="1"/>
  <c r="V41" i="1"/>
  <c r="U41" i="1"/>
  <c r="T41" i="1"/>
  <c r="S41" i="1"/>
  <c r="R41" i="1"/>
  <c r="W40" i="1"/>
  <c r="V40" i="1"/>
  <c r="U40" i="1"/>
  <c r="T40" i="1"/>
  <c r="S40" i="1"/>
  <c r="R40" i="1"/>
  <c r="W39" i="1"/>
  <c r="V39" i="1"/>
  <c r="U39" i="1"/>
  <c r="T39" i="1"/>
  <c r="S39" i="1"/>
  <c r="R39" i="1"/>
  <c r="W38" i="1"/>
  <c r="V38" i="1"/>
  <c r="U38" i="1"/>
  <c r="T38" i="1"/>
  <c r="S38" i="1"/>
  <c r="R38" i="1"/>
  <c r="W37" i="1"/>
  <c r="V37" i="1"/>
  <c r="U37" i="1"/>
  <c r="T37" i="1"/>
  <c r="S37" i="1"/>
  <c r="R37" i="1"/>
  <c r="W36" i="1"/>
  <c r="V36" i="1"/>
  <c r="U36" i="1"/>
  <c r="T36" i="1"/>
  <c r="S36" i="1"/>
  <c r="R36" i="1"/>
  <c r="W35" i="1"/>
  <c r="V35" i="1"/>
  <c r="U35" i="1"/>
  <c r="T35" i="1"/>
  <c r="S35" i="1"/>
  <c r="R35" i="1"/>
  <c r="W34" i="1"/>
  <c r="V34" i="1"/>
  <c r="U34" i="1"/>
  <c r="T34" i="1"/>
  <c r="S34" i="1"/>
  <c r="R34" i="1"/>
  <c r="W33" i="1"/>
  <c r="V33" i="1"/>
  <c r="U33" i="1"/>
  <c r="T33" i="1"/>
  <c r="S33" i="1"/>
  <c r="R33" i="1"/>
  <c r="W32" i="1"/>
  <c r="V32" i="1"/>
  <c r="U32" i="1"/>
  <c r="T32" i="1"/>
  <c r="S32" i="1"/>
  <c r="R32" i="1"/>
  <c r="W31" i="1"/>
  <c r="V31" i="1"/>
  <c r="U31" i="1"/>
  <c r="T31" i="1"/>
  <c r="S31" i="1"/>
  <c r="R31" i="1"/>
  <c r="W30" i="1"/>
  <c r="V30" i="1"/>
  <c r="U30" i="1"/>
  <c r="T30" i="1"/>
  <c r="S30" i="1"/>
  <c r="R30" i="1"/>
  <c r="W29" i="1"/>
  <c r="V29" i="1"/>
  <c r="U29" i="1"/>
  <c r="T29" i="1"/>
  <c r="S29" i="1"/>
  <c r="R29" i="1"/>
  <c r="W28" i="1"/>
  <c r="V28" i="1"/>
  <c r="U28" i="1"/>
  <c r="T28" i="1"/>
  <c r="S28" i="1"/>
  <c r="R28" i="1"/>
  <c r="W27" i="1"/>
  <c r="V27" i="1"/>
  <c r="U27" i="1"/>
  <c r="T27" i="1"/>
  <c r="S27" i="1"/>
  <c r="R27" i="1"/>
  <c r="W26" i="1"/>
  <c r="V26" i="1"/>
  <c r="U26" i="1"/>
  <c r="T26" i="1"/>
  <c r="S26" i="1"/>
  <c r="R26" i="1"/>
  <c r="W25" i="1"/>
  <c r="V25" i="1"/>
  <c r="U25" i="1"/>
  <c r="T25" i="1"/>
  <c r="S25" i="1"/>
  <c r="R25" i="1"/>
  <c r="W24" i="1"/>
  <c r="V24" i="1"/>
  <c r="U24" i="1"/>
  <c r="T24" i="1"/>
  <c r="S24" i="1"/>
  <c r="R24" i="1"/>
  <c r="W23" i="1"/>
  <c r="V23" i="1"/>
  <c r="U23" i="1"/>
  <c r="T23" i="1"/>
  <c r="S23" i="1"/>
  <c r="R23" i="1"/>
  <c r="W22" i="1"/>
  <c r="V22" i="1"/>
  <c r="U22" i="1"/>
  <c r="T22" i="1"/>
  <c r="S22" i="1"/>
  <c r="R22" i="1"/>
  <c r="W21" i="1"/>
  <c r="V21" i="1"/>
  <c r="U21" i="1"/>
  <c r="T21" i="1"/>
  <c r="S21" i="1"/>
  <c r="R21" i="1"/>
  <c r="W20" i="1"/>
  <c r="V20" i="1"/>
  <c r="U20" i="1"/>
  <c r="T20" i="1"/>
  <c r="S20" i="1"/>
  <c r="R20" i="1"/>
  <c r="W19" i="1"/>
  <c r="V19" i="1"/>
  <c r="U19" i="1"/>
  <c r="T19" i="1"/>
  <c r="S19" i="1"/>
  <c r="R19" i="1"/>
  <c r="W18" i="1"/>
  <c r="V18" i="1"/>
  <c r="U18" i="1"/>
  <c r="T18" i="1"/>
  <c r="S18" i="1"/>
  <c r="R18" i="1"/>
  <c r="W17" i="1"/>
  <c r="V17" i="1"/>
  <c r="U17" i="1"/>
  <c r="T17" i="1"/>
  <c r="S17" i="1"/>
  <c r="R17" i="1"/>
  <c r="W16" i="1"/>
  <c r="V16" i="1"/>
  <c r="U16" i="1"/>
  <c r="T16" i="1"/>
  <c r="S16" i="1"/>
  <c r="R16" i="1"/>
  <c r="W15" i="1"/>
  <c r="V15" i="1"/>
  <c r="U15" i="1"/>
  <c r="T15" i="1"/>
  <c r="S15" i="1"/>
  <c r="R15" i="1"/>
  <c r="W14" i="1"/>
  <c r="V14" i="1"/>
  <c r="U14" i="1"/>
  <c r="T14" i="1"/>
  <c r="S14" i="1"/>
  <c r="R14" i="1"/>
  <c r="W13" i="1"/>
  <c r="V13" i="1"/>
  <c r="U13" i="1"/>
  <c r="T13" i="1"/>
  <c r="S13" i="1"/>
  <c r="R13" i="1"/>
  <c r="W12" i="1"/>
  <c r="V12" i="1"/>
  <c r="U12" i="1"/>
  <c r="T12" i="1"/>
  <c r="S12" i="1"/>
  <c r="R12" i="1"/>
  <c r="W11" i="1"/>
  <c r="V11" i="1"/>
  <c r="U11" i="1"/>
  <c r="T11" i="1"/>
  <c r="S11" i="1"/>
  <c r="R11" i="1"/>
  <c r="W10" i="1"/>
  <c r="V10" i="1"/>
  <c r="U10" i="1"/>
  <c r="T10" i="1"/>
  <c r="S10" i="1"/>
  <c r="R10" i="1"/>
  <c r="W9" i="1"/>
  <c r="V9" i="1"/>
  <c r="U9" i="1"/>
  <c r="T9" i="1"/>
  <c r="S9" i="1"/>
  <c r="R9" i="1"/>
  <c r="W8" i="1"/>
  <c r="V8" i="1"/>
  <c r="U8" i="1"/>
  <c r="T8" i="1"/>
  <c r="S8" i="1"/>
  <c r="R8" i="1"/>
  <c r="W7" i="1"/>
  <c r="V7" i="1"/>
  <c r="U7" i="1"/>
  <c r="T7" i="1"/>
  <c r="S7" i="1"/>
  <c r="R7" i="1"/>
  <c r="W6" i="1"/>
  <c r="V6" i="1"/>
  <c r="U6" i="1"/>
  <c r="T6" i="1"/>
  <c r="S6" i="1"/>
  <c r="R6" i="1"/>
  <c r="W5" i="1"/>
  <c r="V5" i="1"/>
  <c r="U5" i="1"/>
  <c r="T5" i="1"/>
  <c r="S5" i="1"/>
  <c r="R5" i="1"/>
  <c r="W4" i="1"/>
  <c r="V4" i="1"/>
  <c r="U4" i="1"/>
  <c r="T4" i="1"/>
  <c r="S4" i="1"/>
  <c r="R4" i="1"/>
  <c r="W3" i="1"/>
  <c r="V3" i="1"/>
  <c r="U3" i="1"/>
  <c r="T3" i="1"/>
  <c r="S3" i="1"/>
  <c r="R3" i="1"/>
  <c r="W2" i="1"/>
  <c r="V2" i="1"/>
  <c r="U2" i="1"/>
  <c r="T2" i="1"/>
  <c r="S2" i="1"/>
  <c r="R2" i="1"/>
  <c r="C34" i="5" l="1"/>
  <c r="C25" i="5"/>
  <c r="C74" i="5"/>
  <c r="C76" i="5" s="1"/>
  <c r="D40" i="5"/>
  <c r="D58" i="5"/>
  <c r="D70" i="5"/>
  <c r="E70" i="5" s="1"/>
  <c r="E62" i="5"/>
  <c r="B49" i="5"/>
  <c r="C49" i="5" s="1"/>
  <c r="C44" i="5"/>
  <c r="D33" i="5"/>
  <c r="E33" i="5" s="1"/>
  <c r="D32" i="5"/>
  <c r="E32" i="5"/>
  <c r="D31" i="5"/>
  <c r="E31" i="5"/>
  <c r="D30" i="5"/>
  <c r="E30" i="5"/>
  <c r="B34" i="5"/>
  <c r="D29" i="5"/>
  <c r="D24" i="5"/>
  <c r="E24" i="5"/>
  <c r="D23" i="5"/>
  <c r="D25" i="5" s="1"/>
  <c r="E23" i="5"/>
  <c r="B25" i="5"/>
  <c r="E25" i="5" s="1"/>
  <c r="D18" i="5"/>
  <c r="E18" i="5"/>
  <c r="D17" i="5"/>
  <c r="E17" i="5" s="1"/>
  <c r="D16" i="5"/>
  <c r="E16" i="5" s="1"/>
  <c r="D15" i="5"/>
  <c r="E15" i="5"/>
  <c r="B19" i="5"/>
  <c r="D14" i="5"/>
  <c r="D19" i="5" s="1"/>
  <c r="E14" i="5"/>
  <c r="B9" i="4"/>
  <c r="F9" i="4" s="1"/>
  <c r="F4" i="4"/>
  <c r="E13" i="3" s="1"/>
  <c r="F4" i="2"/>
  <c r="F8" i="2"/>
  <c r="F7" i="2"/>
  <c r="F6" i="2"/>
  <c r="F5" i="2"/>
  <c r="A14" i="3"/>
  <c r="B12" i="3"/>
  <c r="C14" i="3"/>
  <c r="C12" i="3"/>
  <c r="A12" i="3"/>
  <c r="B11" i="3"/>
  <c r="A11" i="3"/>
  <c r="C10" i="3"/>
  <c r="B10" i="3"/>
  <c r="B14" i="3"/>
  <c r="A10" i="3"/>
  <c r="C9" i="3"/>
  <c r="B8" i="3"/>
  <c r="A8" i="3"/>
  <c r="C8" i="3"/>
  <c r="C11" i="3"/>
  <c r="A9" i="3"/>
  <c r="B9" i="3"/>
  <c r="B21" i="4"/>
  <c r="C21" i="4" s="1"/>
  <c r="B18" i="4"/>
  <c r="C18" i="4" s="1"/>
  <c r="B19" i="4"/>
  <c r="C19" i="4" s="1"/>
  <c r="B20" i="4"/>
  <c r="C20" i="4" s="1"/>
  <c r="E19" i="5" l="1"/>
  <c r="D34" i="5"/>
  <c r="E34" i="5" s="1"/>
  <c r="E2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Analyst</author>
  </authors>
  <commentList>
    <comment ref="R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Helper column (added). Grade from Overall_Score using the editable bands in KPI!E4:E8 (assumption, not from source).</t>
        </r>
      </text>
    </comment>
    <comment ref="T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Helper column (added). Average of Midterm and Final Exam score; a blank Midterm is skipped.</t>
        </r>
      </text>
    </comment>
    <comment ref="U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Helper column (added). Unique rank by Overall_Score (ties broken by row order) - feeds the Top 10 list.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Analyst</author>
  </authors>
  <commentList>
    <comment ref="E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ASSUMPTION (not from the source file): grade cut-offs used by Dataset!R (GRADE). Yellow/blue cells are editable inputs.</t>
        </r>
      </text>
    </comment>
  </commentList>
</comments>
</file>

<file path=xl/sharedStrings.xml><?xml version="1.0" encoding="utf-8"?>
<sst xmlns="http://schemas.openxmlformats.org/spreadsheetml/2006/main" count="1928" uniqueCount="614">
  <si>
    <t>Student_ID</t>
  </si>
  <si>
    <t>Student_Name</t>
  </si>
  <si>
    <t>Department</t>
  </si>
  <si>
    <t>Gender</t>
  </si>
  <si>
    <t>Semester</t>
  </si>
  <si>
    <t>Attendance_%</t>
  </si>
  <si>
    <t>Study_Hours</t>
  </si>
  <si>
    <t>Assignment_Score</t>
  </si>
  <si>
    <t>Midterm_Score</t>
  </si>
  <si>
    <t>Final_Exam_Score</t>
  </si>
  <si>
    <t>Projects_Completed</t>
  </si>
  <si>
    <t>Certifications</t>
  </si>
  <si>
    <t>Backlogs</t>
  </si>
  <si>
    <t>Internship</t>
  </si>
  <si>
    <t>Monthly_Stipend</t>
  </si>
  <si>
    <t>Placement_Status</t>
  </si>
  <si>
    <t>Overall_Score</t>
  </si>
  <si>
    <t>GRADE</t>
  </si>
  <si>
    <t>PLACED FLAG</t>
  </si>
  <si>
    <t>AVG EXAM SCORE</t>
  </si>
  <si>
    <t>RANK</t>
  </si>
  <si>
    <t>UPPER_CASE</t>
  </si>
  <si>
    <t>STUDENT NO</t>
  </si>
  <si>
    <t>STU1001</t>
  </si>
  <si>
    <t>Student_001</t>
  </si>
  <si>
    <t>IT</t>
  </si>
  <si>
    <t>Female</t>
  </si>
  <si>
    <t>No</t>
  </si>
  <si>
    <t>Placed</t>
  </si>
  <si>
    <t>STU1002</t>
  </si>
  <si>
    <t>Student_002</t>
  </si>
  <si>
    <t>Electronics</t>
  </si>
  <si>
    <t>Not Placed</t>
  </si>
  <si>
    <t>STU1003</t>
  </si>
  <si>
    <t>Student_003</t>
  </si>
  <si>
    <t>Data Science</t>
  </si>
  <si>
    <t>Male</t>
  </si>
  <si>
    <t>Yes</t>
  </si>
  <si>
    <t>STU1004</t>
  </si>
  <si>
    <t>Student_004</t>
  </si>
  <si>
    <t>AI-ML</t>
  </si>
  <si>
    <t>STU1005</t>
  </si>
  <si>
    <t>Student_005</t>
  </si>
  <si>
    <t>Computer Engineering</t>
  </si>
  <si>
    <t>STU1006</t>
  </si>
  <si>
    <t>Student_006</t>
  </si>
  <si>
    <t>STU1007</t>
  </si>
  <si>
    <t>Student_007</t>
  </si>
  <si>
    <t>STU1008</t>
  </si>
  <si>
    <t>Student_008</t>
  </si>
  <si>
    <t>STU1009</t>
  </si>
  <si>
    <t>Student_009</t>
  </si>
  <si>
    <t>STU1010</t>
  </si>
  <si>
    <t>Student_010</t>
  </si>
  <si>
    <t>STU1011</t>
  </si>
  <si>
    <t>Student_011</t>
  </si>
  <si>
    <t>STU1012</t>
  </si>
  <si>
    <t>Student_012</t>
  </si>
  <si>
    <t>STU1013</t>
  </si>
  <si>
    <t>Student_013</t>
  </si>
  <si>
    <t>STU1014</t>
  </si>
  <si>
    <t>Student_014</t>
  </si>
  <si>
    <t>STU1015</t>
  </si>
  <si>
    <t>Student_015</t>
  </si>
  <si>
    <t>STU1016</t>
  </si>
  <si>
    <t>Student_016</t>
  </si>
  <si>
    <t>STU1017</t>
  </si>
  <si>
    <t>Student_017</t>
  </si>
  <si>
    <t>STU1018</t>
  </si>
  <si>
    <t>Student_018</t>
  </si>
  <si>
    <t>STU1019</t>
  </si>
  <si>
    <t>Student_019</t>
  </si>
  <si>
    <t>STU1020</t>
  </si>
  <si>
    <t>Student_020</t>
  </si>
  <si>
    <t>STU1021</t>
  </si>
  <si>
    <t>Student_021</t>
  </si>
  <si>
    <t>STU1022</t>
  </si>
  <si>
    <t>Student_022</t>
  </si>
  <si>
    <t>STU1023</t>
  </si>
  <si>
    <t>Student_023</t>
  </si>
  <si>
    <t>STU1024</t>
  </si>
  <si>
    <t>Student_024</t>
  </si>
  <si>
    <t>STU1025</t>
  </si>
  <si>
    <t>Student_025</t>
  </si>
  <si>
    <t>STU1026</t>
  </si>
  <si>
    <t>Student_026</t>
  </si>
  <si>
    <t>STU1027</t>
  </si>
  <si>
    <t>Student_027</t>
  </si>
  <si>
    <t>STU1028</t>
  </si>
  <si>
    <t>Student_028</t>
  </si>
  <si>
    <t>STU1029</t>
  </si>
  <si>
    <t>Student_029</t>
  </si>
  <si>
    <t>STU1030</t>
  </si>
  <si>
    <t>Student_030</t>
  </si>
  <si>
    <t>STU1031</t>
  </si>
  <si>
    <t>Student_031</t>
  </si>
  <si>
    <t>STU1032</t>
  </si>
  <si>
    <t>Student_032</t>
  </si>
  <si>
    <t>STU1033</t>
  </si>
  <si>
    <t>Student_033</t>
  </si>
  <si>
    <t>STU1034</t>
  </si>
  <si>
    <t>Student_034</t>
  </si>
  <si>
    <t>STU1035</t>
  </si>
  <si>
    <t>Student_035</t>
  </si>
  <si>
    <t>STU1036</t>
  </si>
  <si>
    <t>Student_036</t>
  </si>
  <si>
    <t>STU1037</t>
  </si>
  <si>
    <t>Student_037</t>
  </si>
  <si>
    <t>STU1038</t>
  </si>
  <si>
    <t>Student_038</t>
  </si>
  <si>
    <t>STU1039</t>
  </si>
  <si>
    <t>Student_039</t>
  </si>
  <si>
    <t>STU1040</t>
  </si>
  <si>
    <t>Student_040</t>
  </si>
  <si>
    <t>STU1041</t>
  </si>
  <si>
    <t>Student_041</t>
  </si>
  <si>
    <t>STU1042</t>
  </si>
  <si>
    <t>Student_042</t>
  </si>
  <si>
    <t>STU1043</t>
  </si>
  <si>
    <t>Student_043</t>
  </si>
  <si>
    <t>STU1044</t>
  </si>
  <si>
    <t>Student_044</t>
  </si>
  <si>
    <t>STU1045</t>
  </si>
  <si>
    <t>Student_045</t>
  </si>
  <si>
    <t>STU1046</t>
  </si>
  <si>
    <t>Student_046</t>
  </si>
  <si>
    <t>STU1047</t>
  </si>
  <si>
    <t>Student_047</t>
  </si>
  <si>
    <t>STU1048</t>
  </si>
  <si>
    <t>Student_048</t>
  </si>
  <si>
    <t>STU1049</t>
  </si>
  <si>
    <t>Student_049</t>
  </si>
  <si>
    <t>STU1050</t>
  </si>
  <si>
    <t>Student_050</t>
  </si>
  <si>
    <t>STU1051</t>
  </si>
  <si>
    <t>Student_051</t>
  </si>
  <si>
    <t>STU1052</t>
  </si>
  <si>
    <t>Student_052</t>
  </si>
  <si>
    <t>STU1053</t>
  </si>
  <si>
    <t>Student_053</t>
  </si>
  <si>
    <t>STU1054</t>
  </si>
  <si>
    <t>Student_054</t>
  </si>
  <si>
    <t>STU1055</t>
  </si>
  <si>
    <t>Student_055</t>
  </si>
  <si>
    <t>STU1056</t>
  </si>
  <si>
    <t>Student_056</t>
  </si>
  <si>
    <t>STU1057</t>
  </si>
  <si>
    <t>Student_057</t>
  </si>
  <si>
    <t>STU1058</t>
  </si>
  <si>
    <t>Student_058</t>
  </si>
  <si>
    <t>STU1059</t>
  </si>
  <si>
    <t>Student_059</t>
  </si>
  <si>
    <t>STU1060</t>
  </si>
  <si>
    <t>Student_060</t>
  </si>
  <si>
    <t>STU1061</t>
  </si>
  <si>
    <t>Student_061</t>
  </si>
  <si>
    <t>STU1062</t>
  </si>
  <si>
    <t>Student_062</t>
  </si>
  <si>
    <t>STU1063</t>
  </si>
  <si>
    <t>Student_063</t>
  </si>
  <si>
    <t>STU1064</t>
  </si>
  <si>
    <t>Student_064</t>
  </si>
  <si>
    <t>STU1065</t>
  </si>
  <si>
    <t>Student_065</t>
  </si>
  <si>
    <t>STU1066</t>
  </si>
  <si>
    <t>Student_066</t>
  </si>
  <si>
    <t>STU1067</t>
  </si>
  <si>
    <t>Student_067</t>
  </si>
  <si>
    <t>STU1068</t>
  </si>
  <si>
    <t>Student_068</t>
  </si>
  <si>
    <t>STU1069</t>
  </si>
  <si>
    <t>Student_069</t>
  </si>
  <si>
    <t>STU1070</t>
  </si>
  <si>
    <t>Student_070</t>
  </si>
  <si>
    <t>STU1071</t>
  </si>
  <si>
    <t>Student_071</t>
  </si>
  <si>
    <t>STU1072</t>
  </si>
  <si>
    <t>Student_072</t>
  </si>
  <si>
    <t>STU1073</t>
  </si>
  <si>
    <t>Student_073</t>
  </si>
  <si>
    <t>STU1074</t>
  </si>
  <si>
    <t>Student_074</t>
  </si>
  <si>
    <t>STU1075</t>
  </si>
  <si>
    <t>Student_075</t>
  </si>
  <si>
    <t>STU1076</t>
  </si>
  <si>
    <t>Student_076</t>
  </si>
  <si>
    <t>STU1077</t>
  </si>
  <si>
    <t>Student_077</t>
  </si>
  <si>
    <t>STU1078</t>
  </si>
  <si>
    <t>Student_078</t>
  </si>
  <si>
    <t>STU1079</t>
  </si>
  <si>
    <t>Student_079</t>
  </si>
  <si>
    <t>STU1080</t>
  </si>
  <si>
    <t>Student_080</t>
  </si>
  <si>
    <t>STU1081</t>
  </si>
  <si>
    <t>Student_081</t>
  </si>
  <si>
    <t>STU1082</t>
  </si>
  <si>
    <t>Student_082</t>
  </si>
  <si>
    <t>STU1083</t>
  </si>
  <si>
    <t>Student_083</t>
  </si>
  <si>
    <t>STU1084</t>
  </si>
  <si>
    <t>Student_084</t>
  </si>
  <si>
    <t>STU1085</t>
  </si>
  <si>
    <t>Student_085</t>
  </si>
  <si>
    <t>STU1086</t>
  </si>
  <si>
    <t>Student_086</t>
  </si>
  <si>
    <t>STU1087</t>
  </si>
  <si>
    <t>Student_087</t>
  </si>
  <si>
    <t>STU1088</t>
  </si>
  <si>
    <t>Student_088</t>
  </si>
  <si>
    <t>STU1089</t>
  </si>
  <si>
    <t>Student_089</t>
  </si>
  <si>
    <t>STU1090</t>
  </si>
  <si>
    <t>Student_090</t>
  </si>
  <si>
    <t>STU1091</t>
  </si>
  <si>
    <t>Student_091</t>
  </si>
  <si>
    <t>STU1092</t>
  </si>
  <si>
    <t>Student_092</t>
  </si>
  <si>
    <t>STU1093</t>
  </si>
  <si>
    <t>Student_093</t>
  </si>
  <si>
    <t>STU1094</t>
  </si>
  <si>
    <t>Student_094</t>
  </si>
  <si>
    <t>STU1095</t>
  </si>
  <si>
    <t>Student_095</t>
  </si>
  <si>
    <t>STU1096</t>
  </si>
  <si>
    <t>Student_096</t>
  </si>
  <si>
    <t>STU1097</t>
  </si>
  <si>
    <t>Student_097</t>
  </si>
  <si>
    <t>STU1098</t>
  </si>
  <si>
    <t>Student_098</t>
  </si>
  <si>
    <t>STU1099</t>
  </si>
  <si>
    <t>Student_099</t>
  </si>
  <si>
    <t>STU1100</t>
  </si>
  <si>
    <t>Student_100</t>
  </si>
  <si>
    <t>STU1101</t>
  </si>
  <si>
    <t>Student_101</t>
  </si>
  <si>
    <t>STU1102</t>
  </si>
  <si>
    <t>Student_102</t>
  </si>
  <si>
    <t>STU1103</t>
  </si>
  <si>
    <t>Student_103</t>
  </si>
  <si>
    <t>STU1104</t>
  </si>
  <si>
    <t>Student_104</t>
  </si>
  <si>
    <t>STU1105</t>
  </si>
  <si>
    <t>Student_105</t>
  </si>
  <si>
    <t>STU1106</t>
  </si>
  <si>
    <t>Student_106</t>
  </si>
  <si>
    <t>STU1107</t>
  </si>
  <si>
    <t>Student_107</t>
  </si>
  <si>
    <t>STU1108</t>
  </si>
  <si>
    <t>Student_108</t>
  </si>
  <si>
    <t>STU1109</t>
  </si>
  <si>
    <t>Student_109</t>
  </si>
  <si>
    <t>STU1110</t>
  </si>
  <si>
    <t>Student_110</t>
  </si>
  <si>
    <t>STU1111</t>
  </si>
  <si>
    <t>Student_111</t>
  </si>
  <si>
    <t>STU1112</t>
  </si>
  <si>
    <t>Student_112</t>
  </si>
  <si>
    <t>STU1113</t>
  </si>
  <si>
    <t>Student_113</t>
  </si>
  <si>
    <t>STU1114</t>
  </si>
  <si>
    <t>Student_114</t>
  </si>
  <si>
    <t>STU1115</t>
  </si>
  <si>
    <t>Student_115</t>
  </si>
  <si>
    <t>STU1116</t>
  </si>
  <si>
    <t>Student_116</t>
  </si>
  <si>
    <t>STU1117</t>
  </si>
  <si>
    <t>Student_117</t>
  </si>
  <si>
    <t>STU1118</t>
  </si>
  <si>
    <t>Student_118</t>
  </si>
  <si>
    <t>STU1119</t>
  </si>
  <si>
    <t>Student_119</t>
  </si>
  <si>
    <t>STU1120</t>
  </si>
  <si>
    <t>Student_120</t>
  </si>
  <si>
    <t>STU1121</t>
  </si>
  <si>
    <t>Student_121</t>
  </si>
  <si>
    <t>STU1122</t>
  </si>
  <si>
    <t>Student_122</t>
  </si>
  <si>
    <t>STU1123</t>
  </si>
  <si>
    <t>Student_123</t>
  </si>
  <si>
    <t>STU1124</t>
  </si>
  <si>
    <t>Student_124</t>
  </si>
  <si>
    <t>STU1125</t>
  </si>
  <si>
    <t>Student_125</t>
  </si>
  <si>
    <t>STU1126</t>
  </si>
  <si>
    <t>Student_126</t>
  </si>
  <si>
    <t>STU1127</t>
  </si>
  <si>
    <t>Student_127</t>
  </si>
  <si>
    <t>STU1128</t>
  </si>
  <si>
    <t>Student_128</t>
  </si>
  <si>
    <t>STU1129</t>
  </si>
  <si>
    <t>Student_129</t>
  </si>
  <si>
    <t>STU1130</t>
  </si>
  <si>
    <t>Student_130</t>
  </si>
  <si>
    <t>STU1131</t>
  </si>
  <si>
    <t>Student_131</t>
  </si>
  <si>
    <t>STU1132</t>
  </si>
  <si>
    <t>Student_132</t>
  </si>
  <si>
    <t>STU1133</t>
  </si>
  <si>
    <t>Student_133</t>
  </si>
  <si>
    <t>STU1134</t>
  </si>
  <si>
    <t>Student_134</t>
  </si>
  <si>
    <t>STU1135</t>
  </si>
  <si>
    <t>Student_135</t>
  </si>
  <si>
    <t>STU1136</t>
  </si>
  <si>
    <t>Student_136</t>
  </si>
  <si>
    <t>STU1137</t>
  </si>
  <si>
    <t>Student_137</t>
  </si>
  <si>
    <t>STU1138</t>
  </si>
  <si>
    <t>Student_138</t>
  </si>
  <si>
    <t>STU1139</t>
  </si>
  <si>
    <t>Student_139</t>
  </si>
  <si>
    <t>STU1140</t>
  </si>
  <si>
    <t>Student_140</t>
  </si>
  <si>
    <t>STU1141</t>
  </si>
  <si>
    <t>Student_141</t>
  </si>
  <si>
    <t>STU1142</t>
  </si>
  <si>
    <t>Student_142</t>
  </si>
  <si>
    <t>STU1143</t>
  </si>
  <si>
    <t>Student_143</t>
  </si>
  <si>
    <t>STU1144</t>
  </si>
  <si>
    <t>Student_144</t>
  </si>
  <si>
    <t>STU1145</t>
  </si>
  <si>
    <t>Student_145</t>
  </si>
  <si>
    <t>STU1146</t>
  </si>
  <si>
    <t>Student_146</t>
  </si>
  <si>
    <t>STU1147</t>
  </si>
  <si>
    <t>Student_147</t>
  </si>
  <si>
    <t>STU1148</t>
  </si>
  <si>
    <t>Student_148</t>
  </si>
  <si>
    <t>STU1149</t>
  </si>
  <si>
    <t>Student_149</t>
  </si>
  <si>
    <t>STU1150</t>
  </si>
  <si>
    <t>Student_150</t>
  </si>
  <si>
    <t>STU1151</t>
  </si>
  <si>
    <t>Student_151</t>
  </si>
  <si>
    <t>STU1152</t>
  </si>
  <si>
    <t>Student_152</t>
  </si>
  <si>
    <t>STU1153</t>
  </si>
  <si>
    <t>Student_153</t>
  </si>
  <si>
    <t>STU1154</t>
  </si>
  <si>
    <t>Student_154</t>
  </si>
  <si>
    <t>STU1155</t>
  </si>
  <si>
    <t>Student_155</t>
  </si>
  <si>
    <t>STU1156</t>
  </si>
  <si>
    <t>Student_156</t>
  </si>
  <si>
    <t>STU1157</t>
  </si>
  <si>
    <t>Student_157</t>
  </si>
  <si>
    <t>STU1158</t>
  </si>
  <si>
    <t>Student_158</t>
  </si>
  <si>
    <t>STU1159</t>
  </si>
  <si>
    <t>Student_159</t>
  </si>
  <si>
    <t>STU1160</t>
  </si>
  <si>
    <t>Student_160</t>
  </si>
  <si>
    <t>STU1161</t>
  </si>
  <si>
    <t>Student_161</t>
  </si>
  <si>
    <t>STU1162</t>
  </si>
  <si>
    <t>Student_162</t>
  </si>
  <si>
    <t>STU1163</t>
  </si>
  <si>
    <t>Student_163</t>
  </si>
  <si>
    <t>STU1164</t>
  </si>
  <si>
    <t>Student_164</t>
  </si>
  <si>
    <t>STU1165</t>
  </si>
  <si>
    <t>Student_165</t>
  </si>
  <si>
    <t>STU1166</t>
  </si>
  <si>
    <t>Student_166</t>
  </si>
  <si>
    <t>STU1167</t>
  </si>
  <si>
    <t>Student_167</t>
  </si>
  <si>
    <t>STU1168</t>
  </si>
  <si>
    <t>Student_168</t>
  </si>
  <si>
    <t>STU1169</t>
  </si>
  <si>
    <t>Student_169</t>
  </si>
  <si>
    <t>STU1170</t>
  </si>
  <si>
    <t>Student_170</t>
  </si>
  <si>
    <t>STU1171</t>
  </si>
  <si>
    <t>Student_171</t>
  </si>
  <si>
    <t>STU1172</t>
  </si>
  <si>
    <t>Student_172</t>
  </si>
  <si>
    <t>STU1173</t>
  </si>
  <si>
    <t>Student_173</t>
  </si>
  <si>
    <t>STU1174</t>
  </si>
  <si>
    <t>Student_174</t>
  </si>
  <si>
    <t>STU1175</t>
  </si>
  <si>
    <t>Student_175</t>
  </si>
  <si>
    <t>STU1176</t>
  </si>
  <si>
    <t>Student_176</t>
  </si>
  <si>
    <t>STU1177</t>
  </si>
  <si>
    <t>Student_177</t>
  </si>
  <si>
    <t>STU1178</t>
  </si>
  <si>
    <t>Student_178</t>
  </si>
  <si>
    <t>STU1179</t>
  </si>
  <si>
    <t>Student_179</t>
  </si>
  <si>
    <t>STU1180</t>
  </si>
  <si>
    <t>Student_180</t>
  </si>
  <si>
    <t>STU1181</t>
  </si>
  <si>
    <t>Student_181</t>
  </si>
  <si>
    <t>STU1182</t>
  </si>
  <si>
    <t>Student_182</t>
  </si>
  <si>
    <t>STU1183</t>
  </si>
  <si>
    <t>Student_183</t>
  </si>
  <si>
    <t>STU1184</t>
  </si>
  <si>
    <t>Student_184</t>
  </si>
  <si>
    <t>STU1185</t>
  </si>
  <si>
    <t>Student_185</t>
  </si>
  <si>
    <t>STU1186</t>
  </si>
  <si>
    <t>Student_186</t>
  </si>
  <si>
    <t>STU1187</t>
  </si>
  <si>
    <t>Student_187</t>
  </si>
  <si>
    <t>STU1188</t>
  </si>
  <si>
    <t>Student_188</t>
  </si>
  <si>
    <t>STU1189</t>
  </si>
  <si>
    <t>Student_189</t>
  </si>
  <si>
    <t>STU1190</t>
  </si>
  <si>
    <t>Student_190</t>
  </si>
  <si>
    <t>STU1191</t>
  </si>
  <si>
    <t>Student_191</t>
  </si>
  <si>
    <t>STU1192</t>
  </si>
  <si>
    <t>Student_192</t>
  </si>
  <si>
    <t>STU1193</t>
  </si>
  <si>
    <t>Student_193</t>
  </si>
  <si>
    <t>STU1194</t>
  </si>
  <si>
    <t>Student_194</t>
  </si>
  <si>
    <t>STU1195</t>
  </si>
  <si>
    <t>Student_195</t>
  </si>
  <si>
    <t>STU1196</t>
  </si>
  <si>
    <t>Student_196</t>
  </si>
  <si>
    <t>STU1197</t>
  </si>
  <si>
    <t>Student_197</t>
  </si>
  <si>
    <t>STU1198</t>
  </si>
  <si>
    <t>Student_198</t>
  </si>
  <si>
    <t>STU1199</t>
  </si>
  <si>
    <t>Student_199</t>
  </si>
  <si>
    <t>STU1200</t>
  </si>
  <si>
    <t>Student_200</t>
  </si>
  <si>
    <t>STU1201</t>
  </si>
  <si>
    <t>Student_201</t>
  </si>
  <si>
    <t>STU1202</t>
  </si>
  <si>
    <t>Student_202</t>
  </si>
  <si>
    <t>STU1203</t>
  </si>
  <si>
    <t>Student_203</t>
  </si>
  <si>
    <t>STU1204</t>
  </si>
  <si>
    <t>Student_204</t>
  </si>
  <si>
    <t>STU1205</t>
  </si>
  <si>
    <t>Student_205</t>
  </si>
  <si>
    <t>STU1206</t>
  </si>
  <si>
    <t>Student_206</t>
  </si>
  <si>
    <t>STU1207</t>
  </si>
  <si>
    <t>Student_207</t>
  </si>
  <si>
    <t>STU1208</t>
  </si>
  <si>
    <t>Student_208</t>
  </si>
  <si>
    <t>STU1209</t>
  </si>
  <si>
    <t>Student_209</t>
  </si>
  <si>
    <t>STU1210</t>
  </si>
  <si>
    <t>Student_210</t>
  </si>
  <si>
    <t>STU1211</t>
  </si>
  <si>
    <t>Student_211</t>
  </si>
  <si>
    <t>STU1212</t>
  </si>
  <si>
    <t>Student_212</t>
  </si>
  <si>
    <t>STU1213</t>
  </si>
  <si>
    <t>Student_213</t>
  </si>
  <si>
    <t>STU1214</t>
  </si>
  <si>
    <t>Student_214</t>
  </si>
  <si>
    <t>STU1215</t>
  </si>
  <si>
    <t>Student_215</t>
  </si>
  <si>
    <t>STU1216</t>
  </si>
  <si>
    <t>Student_216</t>
  </si>
  <si>
    <t>STU1217</t>
  </si>
  <si>
    <t>Student_217</t>
  </si>
  <si>
    <t>STU1218</t>
  </si>
  <si>
    <t>Student_218</t>
  </si>
  <si>
    <t>STU1219</t>
  </si>
  <si>
    <t>Student_219</t>
  </si>
  <si>
    <t>STU1220</t>
  </si>
  <si>
    <t>Student_220</t>
  </si>
  <si>
    <t>STU1221</t>
  </si>
  <si>
    <t>Student_221</t>
  </si>
  <si>
    <t>STU1222</t>
  </si>
  <si>
    <t>Student_222</t>
  </si>
  <si>
    <t>STU1223</t>
  </si>
  <si>
    <t>Student_223</t>
  </si>
  <si>
    <t>STU1224</t>
  </si>
  <si>
    <t>Student_224</t>
  </si>
  <si>
    <t>STU1225</t>
  </si>
  <si>
    <t>Student_225</t>
  </si>
  <si>
    <t>STU1226</t>
  </si>
  <si>
    <t>Student_226</t>
  </si>
  <si>
    <t>STU1227</t>
  </si>
  <si>
    <t>Student_227</t>
  </si>
  <si>
    <t>STU1228</t>
  </si>
  <si>
    <t>Student_228</t>
  </si>
  <si>
    <t>STU1229</t>
  </si>
  <si>
    <t>Student_229</t>
  </si>
  <si>
    <t>STU1230</t>
  </si>
  <si>
    <t>Student_230</t>
  </si>
  <si>
    <t>STU1231</t>
  </si>
  <si>
    <t>Student_231</t>
  </si>
  <si>
    <t>STU1232</t>
  </si>
  <si>
    <t>Student_232</t>
  </si>
  <si>
    <t>STU1233</t>
  </si>
  <si>
    <t>Student_233</t>
  </si>
  <si>
    <t>STU1234</t>
  </si>
  <si>
    <t>Student_234</t>
  </si>
  <si>
    <t>STU1235</t>
  </si>
  <si>
    <t>Student_235</t>
  </si>
  <si>
    <t>STU1236</t>
  </si>
  <si>
    <t>Student_236</t>
  </si>
  <si>
    <t>STU1237</t>
  </si>
  <si>
    <t>Student_237</t>
  </si>
  <si>
    <t>STU1238</t>
  </si>
  <si>
    <t>Student_238</t>
  </si>
  <si>
    <t>STU1239</t>
  </si>
  <si>
    <t>Student_239</t>
  </si>
  <si>
    <t>STU1240</t>
  </si>
  <si>
    <t>Student_240</t>
  </si>
  <si>
    <t>STU1241</t>
  </si>
  <si>
    <t>Student_241</t>
  </si>
  <si>
    <t>STU1242</t>
  </si>
  <si>
    <t>Student_242</t>
  </si>
  <si>
    <t>STU1243</t>
  </si>
  <si>
    <t>Student_243</t>
  </si>
  <si>
    <t>STU1244</t>
  </si>
  <si>
    <t>Student_244</t>
  </si>
  <si>
    <t>STU1245</t>
  </si>
  <si>
    <t>Student_245</t>
  </si>
  <si>
    <t>STU1246</t>
  </si>
  <si>
    <t>Student_246</t>
  </si>
  <si>
    <t>STU1247</t>
  </si>
  <si>
    <t>Student_247</t>
  </si>
  <si>
    <t>STU1248</t>
  </si>
  <si>
    <t>Student_248</t>
  </si>
  <si>
    <t>STU1249</t>
  </si>
  <si>
    <t>Student_249</t>
  </si>
  <si>
    <t>STU1250</t>
  </si>
  <si>
    <t>Student_250</t>
  </si>
  <si>
    <t>KPI Summary Metrics</t>
  </si>
  <si>
    <t>TOTAL STUDENTS</t>
  </si>
  <si>
    <t>MIN OVERALL SCORE</t>
  </si>
  <si>
    <t>STUDENTS</t>
  </si>
  <si>
    <t>AVERAGE OVERALL SCORE</t>
  </si>
  <si>
    <t>A</t>
  </si>
  <si>
    <t>PLACEMENT RATE</t>
  </si>
  <si>
    <t>B</t>
  </si>
  <si>
    <t>TOTAL PLACED</t>
  </si>
  <si>
    <t>C</t>
  </si>
  <si>
    <t>TOTAL NOT PLACED</t>
  </si>
  <si>
    <t>D</t>
  </si>
  <si>
    <t>AVERAGE ATTENDANCE %</t>
  </si>
  <si>
    <t>F</t>
  </si>
  <si>
    <t>AVERAGE STUDY HOURS / DAY</t>
  </si>
  <si>
    <t>TOTAL PROJECTS COMPLETED</t>
  </si>
  <si>
    <t>TOTAL CERTIFICATIONS</t>
  </si>
  <si>
    <t>STUDENTS WITH BACKLOGS</t>
  </si>
  <si>
    <t>INTERNSHIP RATE</t>
  </si>
  <si>
    <t>AVERAGE STIPEND (INTERNS)</t>
  </si>
  <si>
    <t>MISSING VALUES (BLANK CELLS)</t>
  </si>
  <si>
    <t>HIGH-PERFORMING STUDENTS</t>
  </si>
  <si>
    <t>TOP 10 STUDENTS BY OVERALL SCORE</t>
  </si>
  <si>
    <t>TOP DEPARTMENT BY AVG OVERALL SCORE</t>
  </si>
  <si>
    <t>NAME</t>
  </si>
  <si>
    <t>OVERALL SCORE</t>
  </si>
  <si>
    <t>DEPARTMENT</t>
  </si>
  <si>
    <t>LARGEST DEPARTMENT (MOST STUDENTS)</t>
  </si>
  <si>
    <t>BEST DEPARTMENT BY PLACEMENT RATE</t>
  </si>
  <si>
    <t>UNIQUE STUDENT LIST</t>
  </si>
  <si>
    <t>PROJECTS</t>
  </si>
  <si>
    <t>PLACEMENT STATUS</t>
  </si>
  <si>
    <t>DEPARTMENT ANALYSIS</t>
  </si>
  <si>
    <t>UNIQUE DEPARTMENT</t>
  </si>
  <si>
    <t>AVG OVERALL SCORE</t>
  </si>
  <si>
    <t>AVG ATTENDANCE %</t>
  </si>
  <si>
    <t>ALL DEPARTMENTS</t>
  </si>
  <si>
    <t>RELATIONSHIP</t>
  </si>
  <si>
    <t>CORRELATION (r)</t>
  </si>
  <si>
    <t>STRENGTH</t>
  </si>
  <si>
    <t>STRENGTH CUT-OFFS</t>
  </si>
  <si>
    <t>|r| &gt;=</t>
  </si>
  <si>
    <t>Attendance % vs Final Exam Score</t>
  </si>
  <si>
    <t>Study Hours vs Overall Score</t>
  </si>
  <si>
    <t>Strong</t>
  </si>
  <si>
    <t>Attendance % vs Overall Score</t>
  </si>
  <si>
    <t>Moderate</t>
  </si>
  <si>
    <t>Final Exam Score vs Overall Score</t>
  </si>
  <si>
    <t>Weak</t>
  </si>
  <si>
    <t>Overall Score vs Placed (1/0)</t>
  </si>
  <si>
    <t>Backlogs vs Placed (1/0)</t>
  </si>
  <si>
    <t>Projects Completed vs Placed (1/0)</t>
  </si>
  <si>
    <t>Certifications vs Placed (1/0)</t>
  </si>
  <si>
    <t>PIVOT TABLE</t>
  </si>
  <si>
    <t>1. AVERAGE OVERALL SCORE BY DEPARTMENT</t>
  </si>
  <si>
    <t>SCATTER DATA: Attendance vs Final Exam</t>
  </si>
  <si>
    <t>SCATTER DATA: Study Hours vs Overall</t>
  </si>
  <si>
    <t>Row Labels</t>
  </si>
  <si>
    <t>Average of Overall_Score</t>
  </si>
  <si>
    <t>Count of Student_ID</t>
  </si>
  <si>
    <t>Grand Total</t>
  </si>
  <si>
    <t>2. PLACEMENT RATE BY DEPARTMENT</t>
  </si>
  <si>
    <t>Total</t>
  </si>
  <si>
    <t>Placement Rate</t>
  </si>
  <si>
    <t>3. INTERNSHIP vs PLACEMENT STATUS</t>
  </si>
  <si>
    <t>4. BACKLOGS vs PLACEMENT STATUS</t>
  </si>
  <si>
    <t>5. GENDER-WISE AVERAGE SCORE</t>
  </si>
  <si>
    <t>Average of Final_Exam_Score</t>
  </si>
  <si>
    <t>6. DEPARTMENT-WISE CERTIFICATION COUNT</t>
  </si>
  <si>
    <t>Sum of Certifications</t>
  </si>
  <si>
    <t>Certifications per Student</t>
  </si>
  <si>
    <t>7. AVERAGE STIPEND BY DEPARTMENT (₹ / month)</t>
  </si>
  <si>
    <t>Avg Stipend (All Students)</t>
  </si>
  <si>
    <t>Avg Stipend (Interns Only)</t>
  </si>
  <si>
    <t>Interns</t>
  </si>
  <si>
    <t>8. SEMESTER-WISE PERFORMANCE</t>
  </si>
  <si>
    <t>Average of Attendance_%</t>
  </si>
  <si>
    <t>9. PLACED vs NOT PLACED</t>
  </si>
  <si>
    <t>% of Total</t>
  </si>
  <si>
    <t>CORRELATION ANALYSIS (PEARSON)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</si>
</sst>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&quot;₹&quot;#,##0"/>
    <numFmt numFmtId="167" formatCode="0.000"/>
    <numFmt numFmtId="168" formatCode="&quot;Sem &quot;0"/>
  </numFmts>
  <fonts count="1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</font>
    <font>
      <sz val="11"/>
      <name val="Calibri"/>
    </font>
    <font>
      <b/>
      <sz val="20"/>
      <color rgb="FFFFFFFF"/>
      <name val="Calibri"/>
    </font>
    <font>
      <sz val="12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0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sz val="16"/>
      <color rgb="FFFFFFFF"/>
      <name val="Calibri"/>
    </font>
    <font>
      <b/>
      <sz val="14"/>
      <name val="Calibri"/>
    </font>
    <font>
      <b/>
      <sz val="14"/>
      <color rgb="FF00B050"/>
      <name val="Calibri"/>
    </font>
    <font>
      <b/>
      <sz val="11"/>
      <name val="Calibri"/>
    </font>
    <font>
      <b/>
      <sz val="10"/>
      <name val="Calibri"/>
    </font>
    <font>
      <b/>
      <sz val="24"/>
      <color rgb="FFFFFFFF"/>
      <name val="Calibri"/>
    </font>
    <font>
      <b/>
      <sz val="11"/>
      <name val="Calibri"/>
      <family val="2"/>
    </font>
    <font>
      <b/>
      <sz val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2060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0F243E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164" fontId="3" fillId="0" borderId="0" xfId="0" applyNumberFormat="1" applyFont="1"/>
    <xf numFmtId="3" fontId="3" fillId="0" borderId="0" xfId="0" applyNumberFormat="1" applyFont="1"/>
    <xf numFmtId="2" fontId="3" fillId="0" borderId="0" xfId="0" applyNumberFormat="1" applyFont="1"/>
    <xf numFmtId="0" fontId="3" fillId="0" borderId="0" xfId="0" applyFont="1" applyAlignment="1">
      <alignment horizontal="center"/>
    </xf>
    <xf numFmtId="1" fontId="5" fillId="0" borderId="1" xfId="0" applyNumberFormat="1" applyFont="1" applyBorder="1" applyAlignment="1">
      <alignment horizontal="right"/>
    </xf>
    <xf numFmtId="0" fontId="6" fillId="3" borderId="1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0" fontId="1" fillId="5" borderId="0" xfId="0" applyFont="1" applyFill="1"/>
    <xf numFmtId="0" fontId="3" fillId="5" borderId="0" xfId="0" applyFont="1" applyFill="1"/>
    <xf numFmtId="0" fontId="0" fillId="5" borderId="0" xfId="0" applyFill="1"/>
    <xf numFmtId="0" fontId="12" fillId="0" borderId="0" xfId="0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5" fontId="1" fillId="2" borderId="6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67" fontId="3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2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0" fontId="1" fillId="2" borderId="1" xfId="0" applyFont="1" applyFill="1" applyBorder="1"/>
    <xf numFmtId="2" fontId="1" fillId="2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5" fontId="1" fillId="2" borderId="1" xfId="0" applyNumberFormat="1" applyFont="1" applyFill="1" applyBorder="1" applyAlignment="1">
      <alignment horizontal="right"/>
    </xf>
    <xf numFmtId="1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6" fontId="1" fillId="2" borderId="1" xfId="0" applyNumberFormat="1" applyFont="1" applyFill="1" applyBorder="1" applyAlignment="1">
      <alignment horizontal="right"/>
    </xf>
    <xf numFmtId="168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18" fillId="0" borderId="1" xfId="0" applyFont="1" applyBorder="1" applyAlignment="1">
      <alignment horizontal="center" vertical="center"/>
    </xf>
    <xf numFmtId="0" fontId="18" fillId="4" borderId="1" xfId="0" applyFont="1" applyFill="1" applyBorder="1" applyAlignment="1">
      <alignment horizontal="left"/>
    </xf>
    <xf numFmtId="0" fontId="4" fillId="3" borderId="0" xfId="0" applyFont="1" applyFill="1" applyAlignment="1">
      <alignment horizontal="center" vertical="center"/>
    </xf>
    <xf numFmtId="0" fontId="0" fillId="3" borderId="0" xfId="0" applyFill="1"/>
    <xf numFmtId="0" fontId="11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7" fillId="5" borderId="0" xfId="0" applyFont="1" applyFill="1"/>
    <xf numFmtId="0" fontId="0" fillId="0" borderId="0" xfId="0"/>
    <xf numFmtId="0" fontId="16" fillId="7" borderId="0" xfId="0" applyFont="1" applyFill="1" applyAlignment="1">
      <alignment horizontal="center" vertical="center"/>
    </xf>
    <xf numFmtId="0" fontId="0" fillId="7" borderId="0" xfId="0" applyFill="1"/>
  </cellXfs>
  <cellStyles count="1"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Average Overall Score by Department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942182144723657E-2"/>
          <c:y val="9.7894446720171543E-2"/>
          <c:w val="0.91288803421024522"/>
          <c:h val="0.7724712879098205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'PIVOT TABLE'!$B$4</c:f>
              <c:strCache>
                <c:ptCount val="1"/>
                <c:pt idx="0">
                  <c:v>Average of Overall_Score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78-48EF-97A3-2A45D09DE1AF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78-48EF-97A3-2A45D09DE1AF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78-48EF-97A3-2A45D09DE1AF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B78-48EF-97A3-2A45D09DE1AF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B78-48EF-97A3-2A45D09DE1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TABLE'!$A$5:$A$9</c:f>
              <c:strCache>
                <c:ptCount val="5"/>
                <c:pt idx="0">
                  <c:v>AI-ML</c:v>
                </c:pt>
                <c:pt idx="1">
                  <c:v>Computer Engineering</c:v>
                </c:pt>
                <c:pt idx="2">
                  <c:v>Data Science</c:v>
                </c:pt>
                <c:pt idx="3">
                  <c:v>Electronics</c:v>
                </c:pt>
                <c:pt idx="4">
                  <c:v>IT</c:v>
                </c:pt>
              </c:strCache>
            </c:strRef>
          </c:cat>
          <c:val>
            <c:numRef>
              <c:f>'PIVOT TABLE'!$B$5:$B$9</c:f>
              <c:numCache>
                <c:formatCode>0.00</c:formatCode>
                <c:ptCount val="5"/>
                <c:pt idx="0">
                  <c:v>77.14104166666668</c:v>
                </c:pt>
                <c:pt idx="1">
                  <c:v>74.696052631578951</c:v>
                </c:pt>
                <c:pt idx="2">
                  <c:v>75.266756756756791</c:v>
                </c:pt>
                <c:pt idx="3">
                  <c:v>75.439756097560974</c:v>
                </c:pt>
                <c:pt idx="4">
                  <c:v>73.962708333333353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1-42AB-BB47-A8DC4F954F9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1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6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 Overall Score (axis starts at 60)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Placement Rate by Department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549868766404198E-2"/>
          <c:y val="0.11075594224828195"/>
          <c:w val="0.93585858585858583"/>
          <c:h val="0.7490222868217054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'PIVOT TABLE'!$E$13</c:f>
              <c:strCache>
                <c:ptCount val="1"/>
                <c:pt idx="0">
                  <c:v>Placement Rate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93-43A0-B2E8-5B8B44152F53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93-43A0-B2E8-5B8B44152F53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93-43A0-B2E8-5B8B44152F53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F93-43A0-B2E8-5B8B44152F53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F93-43A0-B2E8-5B8B44152F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TABLE'!$A$14:$A$18</c:f>
              <c:strCache>
                <c:ptCount val="5"/>
                <c:pt idx="0">
                  <c:v>AI-ML</c:v>
                </c:pt>
                <c:pt idx="1">
                  <c:v>Computer Engineering</c:v>
                </c:pt>
                <c:pt idx="2">
                  <c:v>Data Science</c:v>
                </c:pt>
                <c:pt idx="3">
                  <c:v>Electronics</c:v>
                </c:pt>
                <c:pt idx="4">
                  <c:v>IT</c:v>
                </c:pt>
              </c:strCache>
            </c:strRef>
          </c:cat>
          <c:val>
            <c:numRef>
              <c:f>'PIVOT TABLE'!$E$14:$E$18</c:f>
              <c:numCache>
                <c:formatCode>0.0%</c:formatCode>
                <c:ptCount val="5"/>
                <c:pt idx="0">
                  <c:v>0.66666666666666663</c:v>
                </c:pt>
                <c:pt idx="1">
                  <c:v>0.59210526315789469</c:v>
                </c:pt>
                <c:pt idx="2">
                  <c:v>0.59459459459459463</c:v>
                </c:pt>
                <c:pt idx="3">
                  <c:v>0.46341463414634149</c:v>
                </c:pt>
                <c:pt idx="4">
                  <c:v>0.45833333333333331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3-4A8F-B8D4-1C7051A61DC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1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Placement Rate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aseline="0"/>
              <a:t>Placed vs Not Placed Students</a:t>
            </a:r>
          </a:p>
        </c:rich>
      </c:tx>
      <c:layout>
        <c:manualLayout>
          <c:xMode val="edge"/>
          <c:yMode val="edge"/>
          <c:x val="0.29322518895664351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TABLE'!$B$73</c:f>
              <c:strCache>
                <c:ptCount val="1"/>
                <c:pt idx="0">
                  <c:v>Count of Student_ID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2FD-4104-9E98-7ACB94F9388F}"/>
              </c:ext>
            </c:extLst>
          </c:dPt>
          <c:dPt>
            <c:idx val="1"/>
            <c:bubble3D val="0"/>
            <c:explosion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2FD-4104-9E98-7ACB94F938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eparator>
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TABLE'!$A$74:$A$75</c:f>
              <c:strCache>
                <c:ptCount val="2"/>
                <c:pt idx="0">
                  <c:v>Placed</c:v>
                </c:pt>
                <c:pt idx="1">
                  <c:v>Not Placed</c:v>
                </c:pt>
              </c:strCache>
            </c:strRef>
          </c:cat>
          <c:val>
            <c:numRef>
              <c:f>'PIVOT TABLE'!$B$74:$B$75</c:f>
              <c:numCache>
                <c:formatCode>0</c:formatCode>
                <c:ptCount val="2"/>
                <c:pt idx="0">
                  <c:v>140</c:v>
                </c:pt>
                <c:pt idx="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FD-4104-9E98-7ACB94F9388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1"/>
          <c:showBubbleSize val="1"/>
          <c:separator>
</c:separator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Attendance % vs Final Exam Score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0099813244498275E-2"/>
          <c:y val="0.11792923008200119"/>
          <c:w val="0.88263063421158894"/>
          <c:h val="0.74408665964710763"/>
        </c:manualLayout>
      </c:layout>
      <c:scatterChart>
        <c:scatterStyle val="lineMarker"/>
        <c:varyColors val="1"/>
        <c:ser>
          <c:idx val="0"/>
          <c:order val="0"/>
          <c:tx>
            <c:v>Students</c:v>
          </c:tx>
          <c:spPr>
            <a:ln w="25400">
              <a:noFill/>
            </a:ln>
          </c:spPr>
          <c:marker>
            <c:symbol val="circle"/>
            <c:size val="3"/>
          </c:marker>
          <c:dPt>
            <c:idx val="0"/>
            <c:marker>
              <c:spPr>
                <a:solidFill>
                  <a:schemeClr val="accent3">
                    <a:shade val="3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3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3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B52F-426A-A160-6C3C09164117}"/>
              </c:ext>
            </c:extLst>
          </c:dPt>
          <c:dPt>
            <c:idx val="1"/>
            <c:marker>
              <c:spPr>
                <a:solidFill>
                  <a:schemeClr val="accent3">
                    <a:shade val="3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3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3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B52F-426A-A160-6C3C09164117}"/>
              </c:ext>
            </c:extLst>
          </c:dPt>
          <c:dPt>
            <c:idx val="2"/>
            <c:marker>
              <c:spPr>
                <a:solidFill>
                  <a:schemeClr val="accent3">
                    <a:shade val="3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3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3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B52F-426A-A160-6C3C09164117}"/>
              </c:ext>
            </c:extLst>
          </c:dPt>
          <c:dPt>
            <c:idx val="3"/>
            <c:marker>
              <c:spPr>
                <a:solidFill>
                  <a:schemeClr val="accent3">
                    <a:shade val="3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3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3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B52F-426A-A160-6C3C09164117}"/>
              </c:ext>
            </c:extLst>
          </c:dPt>
          <c:dPt>
            <c:idx val="4"/>
            <c:marker>
              <c:spPr>
                <a:solidFill>
                  <a:schemeClr val="accent3">
                    <a:shade val="3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3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3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B52F-426A-A160-6C3C09164117}"/>
              </c:ext>
            </c:extLst>
          </c:dPt>
          <c:dPt>
            <c:idx val="5"/>
            <c:marker>
              <c:spPr>
                <a:solidFill>
                  <a:schemeClr val="accent3">
                    <a:shade val="3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3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3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B-B52F-426A-A160-6C3C09164117}"/>
              </c:ext>
            </c:extLst>
          </c:dPt>
          <c:dPt>
            <c:idx val="6"/>
            <c:marker>
              <c:spPr>
                <a:solidFill>
                  <a:schemeClr val="accent3">
                    <a:shade val="3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3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3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D-B52F-426A-A160-6C3C09164117}"/>
              </c:ext>
            </c:extLst>
          </c:dPt>
          <c:dPt>
            <c:idx val="7"/>
            <c:marker>
              <c:spPr>
                <a:solidFill>
                  <a:schemeClr val="accent3">
                    <a:shade val="3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3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3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F-B52F-426A-A160-6C3C09164117}"/>
              </c:ext>
            </c:extLst>
          </c:dPt>
          <c:dPt>
            <c:idx val="8"/>
            <c:marker>
              <c:spPr>
                <a:solidFill>
                  <a:schemeClr val="accent3">
                    <a:shade val="3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3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3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1-B52F-426A-A160-6C3C09164117}"/>
              </c:ext>
            </c:extLst>
          </c:dPt>
          <c:dPt>
            <c:idx val="9"/>
            <c:marker>
              <c:spPr>
                <a:solidFill>
                  <a:schemeClr val="accent3">
                    <a:shade val="3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3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3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3-B52F-426A-A160-6C3C09164117}"/>
              </c:ext>
            </c:extLst>
          </c:dPt>
          <c:dPt>
            <c:idx val="10"/>
            <c:marker>
              <c:spPr>
                <a:solidFill>
                  <a:schemeClr val="accent3">
                    <a:shade val="3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3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3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5-B52F-426A-A160-6C3C09164117}"/>
              </c:ext>
            </c:extLst>
          </c:dPt>
          <c:dPt>
            <c:idx val="11"/>
            <c:marker>
              <c:spPr>
                <a:solidFill>
                  <a:schemeClr val="accent3">
                    <a:shade val="3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3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3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7-B52F-426A-A160-6C3C09164117}"/>
              </c:ext>
            </c:extLst>
          </c:dPt>
          <c:dPt>
            <c:idx val="12"/>
            <c:marker>
              <c:spPr>
                <a:solidFill>
                  <a:schemeClr val="accent3">
                    <a:shade val="3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3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3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9-B52F-426A-A160-6C3C09164117}"/>
              </c:ext>
            </c:extLst>
          </c:dPt>
          <c:dPt>
            <c:idx val="13"/>
            <c:marker>
              <c:spPr>
                <a:solidFill>
                  <a:schemeClr val="accent3">
                    <a:shade val="3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3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3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B-B52F-426A-A160-6C3C09164117}"/>
              </c:ext>
            </c:extLst>
          </c:dPt>
          <c:dPt>
            <c:idx val="14"/>
            <c:marker>
              <c:spPr>
                <a:solidFill>
                  <a:schemeClr val="accent3">
                    <a:shade val="3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3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3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D-B52F-426A-A160-6C3C09164117}"/>
              </c:ext>
            </c:extLst>
          </c:dPt>
          <c:dPt>
            <c:idx val="15"/>
            <c:marker>
              <c:spPr>
                <a:solidFill>
                  <a:schemeClr val="accent3">
                    <a:shade val="3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3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3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F-B52F-426A-A160-6C3C09164117}"/>
              </c:ext>
            </c:extLst>
          </c:dPt>
          <c:dPt>
            <c:idx val="16"/>
            <c:marker>
              <c:spPr>
                <a:solidFill>
                  <a:schemeClr val="accent3">
                    <a:shade val="3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3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3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1-B52F-426A-A160-6C3C09164117}"/>
              </c:ext>
            </c:extLst>
          </c:dPt>
          <c:dPt>
            <c:idx val="17"/>
            <c:marker>
              <c:spPr>
                <a:solidFill>
                  <a:schemeClr val="accent3">
                    <a:shade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4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3-B52F-426A-A160-6C3C09164117}"/>
              </c:ext>
            </c:extLst>
          </c:dPt>
          <c:dPt>
            <c:idx val="18"/>
            <c:marker>
              <c:spPr>
                <a:solidFill>
                  <a:schemeClr val="accent3">
                    <a:shade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4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5-B52F-426A-A160-6C3C09164117}"/>
              </c:ext>
            </c:extLst>
          </c:dPt>
          <c:dPt>
            <c:idx val="19"/>
            <c:marker>
              <c:spPr>
                <a:solidFill>
                  <a:schemeClr val="accent3">
                    <a:shade val="4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4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4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7-B52F-426A-A160-6C3C09164117}"/>
              </c:ext>
            </c:extLst>
          </c:dPt>
          <c:dPt>
            <c:idx val="20"/>
            <c:marker>
              <c:spPr>
                <a:solidFill>
                  <a:schemeClr val="accent3">
                    <a:shade val="4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4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4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9-B52F-426A-A160-6C3C09164117}"/>
              </c:ext>
            </c:extLst>
          </c:dPt>
          <c:dPt>
            <c:idx val="21"/>
            <c:marker>
              <c:spPr>
                <a:solidFill>
                  <a:schemeClr val="accent3">
                    <a:shade val="4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4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4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B-B52F-426A-A160-6C3C09164117}"/>
              </c:ext>
            </c:extLst>
          </c:dPt>
          <c:dPt>
            <c:idx val="22"/>
            <c:marker>
              <c:spPr>
                <a:solidFill>
                  <a:schemeClr val="accent3">
                    <a:shade val="4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4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4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D-B52F-426A-A160-6C3C09164117}"/>
              </c:ext>
            </c:extLst>
          </c:dPt>
          <c:dPt>
            <c:idx val="23"/>
            <c:marker>
              <c:spPr>
                <a:solidFill>
                  <a:schemeClr val="accent3">
                    <a:shade val="4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4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4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F-B52F-426A-A160-6C3C09164117}"/>
              </c:ext>
            </c:extLst>
          </c:dPt>
          <c:dPt>
            <c:idx val="24"/>
            <c:marker>
              <c:spPr>
                <a:solidFill>
                  <a:schemeClr val="accent3">
                    <a:shade val="4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4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4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1-B52F-426A-A160-6C3C09164117}"/>
              </c:ext>
            </c:extLst>
          </c:dPt>
          <c:dPt>
            <c:idx val="25"/>
            <c:marker>
              <c:spPr>
                <a:solidFill>
                  <a:schemeClr val="accent3">
                    <a:shade val="4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4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4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3-B52F-426A-A160-6C3C09164117}"/>
              </c:ext>
            </c:extLst>
          </c:dPt>
          <c:dPt>
            <c:idx val="26"/>
            <c:marker>
              <c:spPr>
                <a:solidFill>
                  <a:schemeClr val="accent3">
                    <a:shade val="4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4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4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5-B52F-426A-A160-6C3C09164117}"/>
              </c:ext>
            </c:extLst>
          </c:dPt>
          <c:dPt>
            <c:idx val="27"/>
            <c:marker>
              <c:spPr>
                <a:solidFill>
                  <a:schemeClr val="accent3">
                    <a:shade val="4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4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4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7-B52F-426A-A160-6C3C09164117}"/>
              </c:ext>
            </c:extLst>
          </c:dPt>
          <c:dPt>
            <c:idx val="28"/>
            <c:marker>
              <c:spPr>
                <a:solidFill>
                  <a:schemeClr val="accent3">
                    <a:shade val="4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4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4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9-B52F-426A-A160-6C3C09164117}"/>
              </c:ext>
            </c:extLst>
          </c:dPt>
          <c:dPt>
            <c:idx val="29"/>
            <c:marker>
              <c:spPr>
                <a:solidFill>
                  <a:schemeClr val="accent3">
                    <a:shade val="4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4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4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B-B52F-426A-A160-6C3C09164117}"/>
              </c:ext>
            </c:extLst>
          </c:dPt>
          <c:dPt>
            <c:idx val="30"/>
            <c:marker>
              <c:spPr>
                <a:solidFill>
                  <a:schemeClr val="accent3">
                    <a:shade val="4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4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4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D-B52F-426A-A160-6C3C09164117}"/>
              </c:ext>
            </c:extLst>
          </c:dPt>
          <c:dPt>
            <c:idx val="31"/>
            <c:marker>
              <c:spPr>
                <a:solidFill>
                  <a:schemeClr val="accent3">
                    <a:shade val="4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4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4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F-B52F-426A-A160-6C3C09164117}"/>
              </c:ext>
            </c:extLst>
          </c:dPt>
          <c:dPt>
            <c:idx val="32"/>
            <c:marker>
              <c:spPr>
                <a:solidFill>
                  <a:schemeClr val="accent3">
                    <a:shade val="4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4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4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1-B52F-426A-A160-6C3C09164117}"/>
              </c:ext>
            </c:extLst>
          </c:dPt>
          <c:dPt>
            <c:idx val="33"/>
            <c:marker>
              <c:spPr>
                <a:solidFill>
                  <a:schemeClr val="accent3">
                    <a:shade val="4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4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4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3-B52F-426A-A160-6C3C09164117}"/>
              </c:ext>
            </c:extLst>
          </c:dPt>
          <c:dPt>
            <c:idx val="34"/>
            <c:marker>
              <c:spPr>
                <a:solidFill>
                  <a:schemeClr val="accent3">
                    <a:shade val="4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4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4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5-B52F-426A-A160-6C3C09164117}"/>
              </c:ext>
            </c:extLst>
          </c:dPt>
          <c:dPt>
            <c:idx val="35"/>
            <c:marker>
              <c:spPr>
                <a:solidFill>
                  <a:schemeClr val="accent3">
                    <a:shade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5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7-B52F-426A-A160-6C3C09164117}"/>
              </c:ext>
            </c:extLst>
          </c:dPt>
          <c:dPt>
            <c:idx val="36"/>
            <c:marker>
              <c:spPr>
                <a:solidFill>
                  <a:schemeClr val="accent3">
                    <a:shade val="5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5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5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9-B52F-426A-A160-6C3C09164117}"/>
              </c:ext>
            </c:extLst>
          </c:dPt>
          <c:dPt>
            <c:idx val="37"/>
            <c:marker>
              <c:spPr>
                <a:solidFill>
                  <a:schemeClr val="accent3">
                    <a:shade val="5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5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5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B-B52F-426A-A160-6C3C09164117}"/>
              </c:ext>
            </c:extLst>
          </c:dPt>
          <c:dPt>
            <c:idx val="38"/>
            <c:marker>
              <c:spPr>
                <a:solidFill>
                  <a:schemeClr val="accent3">
                    <a:shade val="5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5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5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D-B52F-426A-A160-6C3C09164117}"/>
              </c:ext>
            </c:extLst>
          </c:dPt>
          <c:dPt>
            <c:idx val="39"/>
            <c:marker>
              <c:spPr>
                <a:solidFill>
                  <a:schemeClr val="accent3">
                    <a:shade val="5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5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5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F-B52F-426A-A160-6C3C09164117}"/>
              </c:ext>
            </c:extLst>
          </c:dPt>
          <c:dPt>
            <c:idx val="40"/>
            <c:marker>
              <c:spPr>
                <a:solidFill>
                  <a:schemeClr val="accent3">
                    <a:shade val="5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5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5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1-B52F-426A-A160-6C3C09164117}"/>
              </c:ext>
            </c:extLst>
          </c:dPt>
          <c:dPt>
            <c:idx val="41"/>
            <c:marker>
              <c:spPr>
                <a:solidFill>
                  <a:schemeClr val="accent3">
                    <a:shade val="5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5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5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3-B52F-426A-A160-6C3C09164117}"/>
              </c:ext>
            </c:extLst>
          </c:dPt>
          <c:dPt>
            <c:idx val="42"/>
            <c:marker>
              <c:spPr>
                <a:solidFill>
                  <a:schemeClr val="accent3">
                    <a:shade val="5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5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5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5-B52F-426A-A160-6C3C09164117}"/>
              </c:ext>
            </c:extLst>
          </c:dPt>
          <c:dPt>
            <c:idx val="43"/>
            <c:marker>
              <c:spPr>
                <a:solidFill>
                  <a:schemeClr val="accent3">
                    <a:shade val="5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5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5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7-B52F-426A-A160-6C3C09164117}"/>
              </c:ext>
            </c:extLst>
          </c:dPt>
          <c:dPt>
            <c:idx val="44"/>
            <c:marker>
              <c:spPr>
                <a:solidFill>
                  <a:schemeClr val="accent3">
                    <a:shade val="5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5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5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9-B52F-426A-A160-6C3C09164117}"/>
              </c:ext>
            </c:extLst>
          </c:dPt>
          <c:dPt>
            <c:idx val="45"/>
            <c:marker>
              <c:spPr>
                <a:solidFill>
                  <a:schemeClr val="accent3">
                    <a:shade val="5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5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5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B-B52F-426A-A160-6C3C09164117}"/>
              </c:ext>
            </c:extLst>
          </c:dPt>
          <c:dPt>
            <c:idx val="46"/>
            <c:marker>
              <c:spPr>
                <a:solidFill>
                  <a:schemeClr val="accent3">
                    <a:shade val="5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5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5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D-B52F-426A-A160-6C3C09164117}"/>
              </c:ext>
            </c:extLst>
          </c:dPt>
          <c:dPt>
            <c:idx val="47"/>
            <c:marker>
              <c:spPr>
                <a:solidFill>
                  <a:schemeClr val="accent3">
                    <a:shade val="5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5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5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F-B52F-426A-A160-6C3C09164117}"/>
              </c:ext>
            </c:extLst>
          </c:dPt>
          <c:dPt>
            <c:idx val="48"/>
            <c:marker>
              <c:spPr>
                <a:solidFill>
                  <a:schemeClr val="accent3">
                    <a:shade val="5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5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5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1-B52F-426A-A160-6C3C09164117}"/>
              </c:ext>
            </c:extLst>
          </c:dPt>
          <c:dPt>
            <c:idx val="49"/>
            <c:marker>
              <c:spPr>
                <a:solidFill>
                  <a:schemeClr val="accent3">
                    <a:shade val="5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5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5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3-B52F-426A-A160-6C3C09164117}"/>
              </c:ext>
            </c:extLst>
          </c:dPt>
          <c:dPt>
            <c:idx val="50"/>
            <c:marker>
              <c:spPr>
                <a:solidFill>
                  <a:schemeClr val="accent3">
                    <a:shade val="5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5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5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5-B52F-426A-A160-6C3C09164117}"/>
              </c:ext>
            </c:extLst>
          </c:dPt>
          <c:dPt>
            <c:idx val="51"/>
            <c:marker>
              <c:spPr>
                <a:solidFill>
                  <a:schemeClr val="accent3">
                    <a:shade val="5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5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5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7-B52F-426A-A160-6C3C09164117}"/>
              </c:ext>
            </c:extLst>
          </c:dPt>
          <c:dPt>
            <c:idx val="52"/>
            <c:marker>
              <c:spPr>
                <a:solidFill>
                  <a:schemeClr val="accent3">
                    <a:shade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9-B52F-426A-A160-6C3C09164117}"/>
              </c:ext>
            </c:extLst>
          </c:dPt>
          <c:dPt>
            <c:idx val="53"/>
            <c:marker>
              <c:spPr>
                <a:solidFill>
                  <a:schemeClr val="accent3">
                    <a:shade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B-B52F-426A-A160-6C3C09164117}"/>
              </c:ext>
            </c:extLst>
          </c:dPt>
          <c:dPt>
            <c:idx val="54"/>
            <c:marker>
              <c:spPr>
                <a:solidFill>
                  <a:schemeClr val="accent3">
                    <a:shade val="6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6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6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D-B52F-426A-A160-6C3C09164117}"/>
              </c:ext>
            </c:extLst>
          </c:dPt>
          <c:dPt>
            <c:idx val="55"/>
            <c:marker>
              <c:spPr>
                <a:solidFill>
                  <a:schemeClr val="accent3">
                    <a:shade val="6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6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6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F-B52F-426A-A160-6C3C09164117}"/>
              </c:ext>
            </c:extLst>
          </c:dPt>
          <c:dPt>
            <c:idx val="56"/>
            <c:marker>
              <c:spPr>
                <a:solidFill>
                  <a:schemeClr val="accent3">
                    <a:shade val="6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6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6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1-B52F-426A-A160-6C3C09164117}"/>
              </c:ext>
            </c:extLst>
          </c:dPt>
          <c:dPt>
            <c:idx val="57"/>
            <c:marker>
              <c:spPr>
                <a:solidFill>
                  <a:schemeClr val="accent3">
                    <a:shade val="6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6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6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3-B52F-426A-A160-6C3C09164117}"/>
              </c:ext>
            </c:extLst>
          </c:dPt>
          <c:dPt>
            <c:idx val="58"/>
            <c:marker>
              <c:spPr>
                <a:solidFill>
                  <a:schemeClr val="accent3">
                    <a:shade val="6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6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6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5-B52F-426A-A160-6C3C09164117}"/>
              </c:ext>
            </c:extLst>
          </c:dPt>
          <c:dPt>
            <c:idx val="59"/>
            <c:marker>
              <c:spPr>
                <a:solidFill>
                  <a:schemeClr val="accent3">
                    <a:shade val="6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6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6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7-B52F-426A-A160-6C3C09164117}"/>
              </c:ext>
            </c:extLst>
          </c:dPt>
          <c:dPt>
            <c:idx val="60"/>
            <c:marker>
              <c:spPr>
                <a:solidFill>
                  <a:schemeClr val="accent3">
                    <a:shade val="6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6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6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9-B52F-426A-A160-6C3C09164117}"/>
              </c:ext>
            </c:extLst>
          </c:dPt>
          <c:dPt>
            <c:idx val="61"/>
            <c:marker>
              <c:spPr>
                <a:solidFill>
                  <a:schemeClr val="accent3">
                    <a:shade val="6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6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6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B-B52F-426A-A160-6C3C09164117}"/>
              </c:ext>
            </c:extLst>
          </c:dPt>
          <c:dPt>
            <c:idx val="62"/>
            <c:marker>
              <c:spPr>
                <a:solidFill>
                  <a:schemeClr val="accent3">
                    <a:shade val="6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6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6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D-B52F-426A-A160-6C3C09164117}"/>
              </c:ext>
            </c:extLst>
          </c:dPt>
          <c:dPt>
            <c:idx val="63"/>
            <c:marker>
              <c:spPr>
                <a:solidFill>
                  <a:schemeClr val="accent3">
                    <a:shade val="6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6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6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F-B52F-426A-A160-6C3C09164117}"/>
              </c:ext>
            </c:extLst>
          </c:dPt>
          <c:dPt>
            <c:idx val="64"/>
            <c:marker>
              <c:spPr>
                <a:solidFill>
                  <a:schemeClr val="accent3">
                    <a:shade val="6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6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6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1-B52F-426A-A160-6C3C09164117}"/>
              </c:ext>
            </c:extLst>
          </c:dPt>
          <c:dPt>
            <c:idx val="65"/>
            <c:marker>
              <c:spPr>
                <a:solidFill>
                  <a:schemeClr val="accent3">
                    <a:shade val="6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6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6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3-B52F-426A-A160-6C3C09164117}"/>
              </c:ext>
            </c:extLst>
          </c:dPt>
          <c:dPt>
            <c:idx val="66"/>
            <c:marker>
              <c:spPr>
                <a:solidFill>
                  <a:schemeClr val="accent3">
                    <a:shade val="6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6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6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5-B52F-426A-A160-6C3C09164117}"/>
              </c:ext>
            </c:extLst>
          </c:dPt>
          <c:dPt>
            <c:idx val="67"/>
            <c:marker>
              <c:spPr>
                <a:solidFill>
                  <a:schemeClr val="accent3">
                    <a:shade val="6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6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6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7-B52F-426A-A160-6C3C09164117}"/>
              </c:ext>
            </c:extLst>
          </c:dPt>
          <c:dPt>
            <c:idx val="68"/>
            <c:marker>
              <c:spPr>
                <a:solidFill>
                  <a:schemeClr val="accent3">
                    <a:shade val="6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6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6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9-B52F-426A-A160-6C3C09164117}"/>
              </c:ext>
            </c:extLst>
          </c:dPt>
          <c:dPt>
            <c:idx val="69"/>
            <c:marker>
              <c:spPr>
                <a:solidFill>
                  <a:schemeClr val="accent3">
                    <a:shade val="6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6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6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B-B52F-426A-A160-6C3C09164117}"/>
              </c:ext>
            </c:extLst>
          </c:dPt>
          <c:dPt>
            <c:idx val="70"/>
            <c:marker>
              <c:spPr>
                <a:solidFill>
                  <a:schemeClr val="accent3">
                    <a:shade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7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D-B52F-426A-A160-6C3C09164117}"/>
              </c:ext>
            </c:extLst>
          </c:dPt>
          <c:dPt>
            <c:idx val="71"/>
            <c:marker>
              <c:spPr>
                <a:solidFill>
                  <a:schemeClr val="accent3">
                    <a:shade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7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F-B52F-426A-A160-6C3C09164117}"/>
              </c:ext>
            </c:extLst>
          </c:dPt>
          <c:dPt>
            <c:idx val="72"/>
            <c:marker>
              <c:spPr>
                <a:solidFill>
                  <a:schemeClr val="accent3">
                    <a:shade val="7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7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7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1-B52F-426A-A160-6C3C09164117}"/>
              </c:ext>
            </c:extLst>
          </c:dPt>
          <c:dPt>
            <c:idx val="73"/>
            <c:marker>
              <c:spPr>
                <a:solidFill>
                  <a:schemeClr val="accent3">
                    <a:shade val="7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7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7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3-B52F-426A-A160-6C3C09164117}"/>
              </c:ext>
            </c:extLst>
          </c:dPt>
          <c:dPt>
            <c:idx val="74"/>
            <c:marker>
              <c:spPr>
                <a:solidFill>
                  <a:schemeClr val="accent3">
                    <a:shade val="7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7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7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5-B52F-426A-A160-6C3C09164117}"/>
              </c:ext>
            </c:extLst>
          </c:dPt>
          <c:dPt>
            <c:idx val="75"/>
            <c:marker>
              <c:spPr>
                <a:solidFill>
                  <a:schemeClr val="accent3">
                    <a:shade val="7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7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7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7-B52F-426A-A160-6C3C09164117}"/>
              </c:ext>
            </c:extLst>
          </c:dPt>
          <c:dPt>
            <c:idx val="76"/>
            <c:marker>
              <c:spPr>
                <a:solidFill>
                  <a:schemeClr val="accent3">
                    <a:shade val="7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7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7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9-B52F-426A-A160-6C3C09164117}"/>
              </c:ext>
            </c:extLst>
          </c:dPt>
          <c:dPt>
            <c:idx val="77"/>
            <c:marker>
              <c:spPr>
                <a:solidFill>
                  <a:schemeClr val="accent3">
                    <a:shade val="7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7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7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B-B52F-426A-A160-6C3C09164117}"/>
              </c:ext>
            </c:extLst>
          </c:dPt>
          <c:dPt>
            <c:idx val="78"/>
            <c:marker>
              <c:spPr>
                <a:solidFill>
                  <a:schemeClr val="accent3">
                    <a:shade val="7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7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7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D-B52F-426A-A160-6C3C09164117}"/>
              </c:ext>
            </c:extLst>
          </c:dPt>
          <c:dPt>
            <c:idx val="79"/>
            <c:marker>
              <c:spPr>
                <a:solidFill>
                  <a:schemeClr val="accent3">
                    <a:shade val="7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7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7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F-B52F-426A-A160-6C3C09164117}"/>
              </c:ext>
            </c:extLst>
          </c:dPt>
          <c:dPt>
            <c:idx val="80"/>
            <c:marker>
              <c:spPr>
                <a:solidFill>
                  <a:schemeClr val="accent3">
                    <a:shade val="7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7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7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1-B52F-426A-A160-6C3C09164117}"/>
              </c:ext>
            </c:extLst>
          </c:dPt>
          <c:dPt>
            <c:idx val="81"/>
            <c:marker>
              <c:spPr>
                <a:solidFill>
                  <a:schemeClr val="accent3">
                    <a:shade val="7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7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7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3-B52F-426A-A160-6C3C09164117}"/>
              </c:ext>
            </c:extLst>
          </c:dPt>
          <c:dPt>
            <c:idx val="82"/>
            <c:marker>
              <c:spPr>
                <a:solidFill>
                  <a:schemeClr val="accent3">
                    <a:shade val="7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7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7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5-B52F-426A-A160-6C3C09164117}"/>
              </c:ext>
            </c:extLst>
          </c:dPt>
          <c:dPt>
            <c:idx val="83"/>
            <c:marker>
              <c:spPr>
                <a:solidFill>
                  <a:schemeClr val="accent3">
                    <a:shade val="7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7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7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7-B52F-426A-A160-6C3C09164117}"/>
              </c:ext>
            </c:extLst>
          </c:dPt>
          <c:dPt>
            <c:idx val="84"/>
            <c:marker>
              <c:spPr>
                <a:solidFill>
                  <a:schemeClr val="accent3">
                    <a:shade val="7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7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7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9-B52F-426A-A160-6C3C09164117}"/>
              </c:ext>
            </c:extLst>
          </c:dPt>
          <c:dPt>
            <c:idx val="85"/>
            <c:marker>
              <c:spPr>
                <a:solidFill>
                  <a:schemeClr val="accent3">
                    <a:shade val="7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7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7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B-B52F-426A-A160-6C3C09164117}"/>
              </c:ext>
            </c:extLst>
          </c:dPt>
          <c:dPt>
            <c:idx val="86"/>
            <c:marker>
              <c:spPr>
                <a:solidFill>
                  <a:schemeClr val="accent3">
                    <a:shade val="7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7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7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D-B52F-426A-A160-6C3C09164117}"/>
              </c:ext>
            </c:extLst>
          </c:dPt>
          <c:dPt>
            <c:idx val="87"/>
            <c:marker>
              <c:spPr>
                <a:solidFill>
                  <a:schemeClr val="accent3">
                    <a:shade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8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F-B52F-426A-A160-6C3C09164117}"/>
              </c:ext>
            </c:extLst>
          </c:dPt>
          <c:dPt>
            <c:idx val="88"/>
            <c:marker>
              <c:spPr>
                <a:solidFill>
                  <a:schemeClr val="accent3">
                    <a:shade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8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1-B52F-426A-A160-6C3C09164117}"/>
              </c:ext>
            </c:extLst>
          </c:dPt>
          <c:dPt>
            <c:idx val="89"/>
            <c:marker>
              <c:spPr>
                <a:solidFill>
                  <a:schemeClr val="accent3">
                    <a:shade val="8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8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8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3-B52F-426A-A160-6C3C09164117}"/>
              </c:ext>
            </c:extLst>
          </c:dPt>
          <c:dPt>
            <c:idx val="90"/>
            <c:marker>
              <c:spPr>
                <a:solidFill>
                  <a:schemeClr val="accent3">
                    <a:shade val="8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8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8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5-B52F-426A-A160-6C3C09164117}"/>
              </c:ext>
            </c:extLst>
          </c:dPt>
          <c:dPt>
            <c:idx val="91"/>
            <c:marker>
              <c:spPr>
                <a:solidFill>
                  <a:schemeClr val="accent3">
                    <a:shade val="8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8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8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7-B52F-426A-A160-6C3C09164117}"/>
              </c:ext>
            </c:extLst>
          </c:dPt>
          <c:dPt>
            <c:idx val="92"/>
            <c:marker>
              <c:spPr>
                <a:solidFill>
                  <a:schemeClr val="accent3">
                    <a:shade val="8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8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8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9-B52F-426A-A160-6C3C09164117}"/>
              </c:ext>
            </c:extLst>
          </c:dPt>
          <c:dPt>
            <c:idx val="93"/>
            <c:marker>
              <c:spPr>
                <a:solidFill>
                  <a:schemeClr val="accent3">
                    <a:shade val="8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8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8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B-B52F-426A-A160-6C3C09164117}"/>
              </c:ext>
            </c:extLst>
          </c:dPt>
          <c:dPt>
            <c:idx val="94"/>
            <c:marker>
              <c:spPr>
                <a:solidFill>
                  <a:schemeClr val="accent3">
                    <a:shade val="8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8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8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D-B52F-426A-A160-6C3C09164117}"/>
              </c:ext>
            </c:extLst>
          </c:dPt>
          <c:dPt>
            <c:idx val="95"/>
            <c:marker>
              <c:spPr>
                <a:solidFill>
                  <a:schemeClr val="accent3">
                    <a:shade val="8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8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8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F-B52F-426A-A160-6C3C09164117}"/>
              </c:ext>
            </c:extLst>
          </c:dPt>
          <c:dPt>
            <c:idx val="96"/>
            <c:marker>
              <c:spPr>
                <a:solidFill>
                  <a:schemeClr val="accent3">
                    <a:shade val="8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8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8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1-B52F-426A-A160-6C3C09164117}"/>
              </c:ext>
            </c:extLst>
          </c:dPt>
          <c:dPt>
            <c:idx val="97"/>
            <c:marker>
              <c:spPr>
                <a:solidFill>
                  <a:schemeClr val="accent3">
                    <a:shade val="8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8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8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3-B52F-426A-A160-6C3C09164117}"/>
              </c:ext>
            </c:extLst>
          </c:dPt>
          <c:dPt>
            <c:idx val="98"/>
            <c:marker>
              <c:spPr>
                <a:solidFill>
                  <a:schemeClr val="accent3">
                    <a:shade val="8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8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8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5-B52F-426A-A160-6C3C09164117}"/>
              </c:ext>
            </c:extLst>
          </c:dPt>
          <c:dPt>
            <c:idx val="99"/>
            <c:marker>
              <c:spPr>
                <a:solidFill>
                  <a:schemeClr val="accent3">
                    <a:shade val="8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8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8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7-B52F-426A-A160-6C3C09164117}"/>
              </c:ext>
            </c:extLst>
          </c:dPt>
          <c:dPt>
            <c:idx val="100"/>
            <c:marker>
              <c:spPr>
                <a:solidFill>
                  <a:schemeClr val="accent3">
                    <a:shade val="8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8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8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9-B52F-426A-A160-6C3C09164117}"/>
              </c:ext>
            </c:extLst>
          </c:dPt>
          <c:dPt>
            <c:idx val="101"/>
            <c:marker>
              <c:spPr>
                <a:solidFill>
                  <a:schemeClr val="accent3">
                    <a:shade val="8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8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8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B-B52F-426A-A160-6C3C09164117}"/>
              </c:ext>
            </c:extLst>
          </c:dPt>
          <c:dPt>
            <c:idx val="102"/>
            <c:marker>
              <c:spPr>
                <a:solidFill>
                  <a:schemeClr val="accent3">
                    <a:shade val="8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8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8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D-B52F-426A-A160-6C3C09164117}"/>
              </c:ext>
            </c:extLst>
          </c:dPt>
          <c:dPt>
            <c:idx val="103"/>
            <c:marker>
              <c:spPr>
                <a:solidFill>
                  <a:schemeClr val="accent3">
                    <a:shade val="8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8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8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F-B52F-426A-A160-6C3C09164117}"/>
              </c:ext>
            </c:extLst>
          </c:dPt>
          <c:dPt>
            <c:idx val="104"/>
            <c:marker>
              <c:spPr>
                <a:solidFill>
                  <a:schemeClr val="accent3">
                    <a:shade val="8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8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8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1-B52F-426A-A160-6C3C09164117}"/>
              </c:ext>
            </c:extLst>
          </c:dPt>
          <c:dPt>
            <c:idx val="105"/>
            <c:marker>
              <c:spPr>
                <a:solidFill>
                  <a:schemeClr val="accent3">
                    <a:shade val="9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9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9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3-B52F-426A-A160-6C3C09164117}"/>
              </c:ext>
            </c:extLst>
          </c:dPt>
          <c:dPt>
            <c:idx val="106"/>
            <c:marker>
              <c:spPr>
                <a:solidFill>
                  <a:schemeClr val="accent3">
                    <a:shade val="9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9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9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5-B52F-426A-A160-6C3C09164117}"/>
              </c:ext>
            </c:extLst>
          </c:dPt>
          <c:dPt>
            <c:idx val="107"/>
            <c:marker>
              <c:spPr>
                <a:solidFill>
                  <a:schemeClr val="accent3">
                    <a:shade val="9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9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9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7-B52F-426A-A160-6C3C09164117}"/>
              </c:ext>
            </c:extLst>
          </c:dPt>
          <c:dPt>
            <c:idx val="108"/>
            <c:marker>
              <c:spPr>
                <a:solidFill>
                  <a:schemeClr val="accent3">
                    <a:shade val="9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9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9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9-B52F-426A-A160-6C3C09164117}"/>
              </c:ext>
            </c:extLst>
          </c:dPt>
          <c:dPt>
            <c:idx val="109"/>
            <c:marker>
              <c:spPr>
                <a:solidFill>
                  <a:schemeClr val="accent3">
                    <a:shade val="9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9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9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B-B52F-426A-A160-6C3C09164117}"/>
              </c:ext>
            </c:extLst>
          </c:dPt>
          <c:dPt>
            <c:idx val="110"/>
            <c:marker>
              <c:spPr>
                <a:solidFill>
                  <a:schemeClr val="accent3">
                    <a:shade val="9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9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9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D-B52F-426A-A160-6C3C09164117}"/>
              </c:ext>
            </c:extLst>
          </c:dPt>
          <c:dPt>
            <c:idx val="111"/>
            <c:marker>
              <c:spPr>
                <a:solidFill>
                  <a:schemeClr val="accent3">
                    <a:shade val="9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9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9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F-B52F-426A-A160-6C3C09164117}"/>
              </c:ext>
            </c:extLst>
          </c:dPt>
          <c:dPt>
            <c:idx val="112"/>
            <c:marker>
              <c:spPr>
                <a:solidFill>
                  <a:schemeClr val="accent3">
                    <a:shade val="9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9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9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1-B52F-426A-A160-6C3C09164117}"/>
              </c:ext>
            </c:extLst>
          </c:dPt>
          <c:dPt>
            <c:idx val="113"/>
            <c:marker>
              <c:spPr>
                <a:solidFill>
                  <a:schemeClr val="accent3">
                    <a:shade val="9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9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9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3-B52F-426A-A160-6C3C09164117}"/>
              </c:ext>
            </c:extLst>
          </c:dPt>
          <c:dPt>
            <c:idx val="114"/>
            <c:marker>
              <c:spPr>
                <a:solidFill>
                  <a:schemeClr val="accent3">
                    <a:shade val="9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9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9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5-B52F-426A-A160-6C3C09164117}"/>
              </c:ext>
            </c:extLst>
          </c:dPt>
          <c:dPt>
            <c:idx val="115"/>
            <c:marker>
              <c:spPr>
                <a:solidFill>
                  <a:schemeClr val="accent3">
                    <a:shade val="9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9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9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7-B52F-426A-A160-6C3C09164117}"/>
              </c:ext>
            </c:extLst>
          </c:dPt>
          <c:dPt>
            <c:idx val="116"/>
            <c:marker>
              <c:spPr>
                <a:solidFill>
                  <a:schemeClr val="accent3">
                    <a:shade val="9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9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9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9-B52F-426A-A160-6C3C09164117}"/>
              </c:ext>
            </c:extLst>
          </c:dPt>
          <c:dPt>
            <c:idx val="117"/>
            <c:marker>
              <c:spPr>
                <a:solidFill>
                  <a:schemeClr val="accent3">
                    <a:shade val="9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9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9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B-B52F-426A-A160-6C3C09164117}"/>
              </c:ext>
            </c:extLst>
          </c:dPt>
          <c:dPt>
            <c:idx val="118"/>
            <c:marker>
              <c:spPr>
                <a:solidFill>
                  <a:schemeClr val="accent3">
                    <a:shade val="9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9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9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D-B52F-426A-A160-6C3C09164117}"/>
              </c:ext>
            </c:extLst>
          </c:dPt>
          <c:dPt>
            <c:idx val="119"/>
            <c:marker>
              <c:spPr>
                <a:solidFill>
                  <a:schemeClr val="accent3">
                    <a:shade val="9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9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9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F-B52F-426A-A160-6C3C09164117}"/>
              </c:ext>
            </c:extLst>
          </c:dPt>
          <c:dPt>
            <c:idx val="120"/>
            <c:marker>
              <c:spPr>
                <a:solidFill>
                  <a:schemeClr val="accent3">
                    <a:shade val="9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9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9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1-B52F-426A-A160-6C3C09164117}"/>
              </c:ext>
            </c:extLst>
          </c:dPt>
          <c:dPt>
            <c:idx val="121"/>
            <c:marker>
              <c:spPr>
                <a:solidFill>
                  <a:schemeClr val="accent3">
                    <a:shade val="9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hade val="9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hade val="9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3-B52F-426A-A160-6C3C09164117}"/>
              </c:ext>
            </c:extLst>
          </c:dPt>
          <c:dPt>
            <c:idx val="122"/>
            <c:marker>
              <c:spPr>
                <a:solidFill>
                  <a:schemeClr val="accent3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5-B52F-426A-A160-6C3C09164117}"/>
              </c:ext>
            </c:extLst>
          </c:dPt>
          <c:dPt>
            <c:idx val="123"/>
            <c:marker>
              <c:spPr>
                <a:solidFill>
                  <a:schemeClr val="accent3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7-B52F-426A-A160-6C3C09164117}"/>
              </c:ext>
            </c:extLst>
          </c:dPt>
          <c:dPt>
            <c:idx val="124"/>
            <c:marker>
              <c:spPr>
                <a:solidFill>
                  <a:schemeClr val="accent3">
                    <a:tint val="9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9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9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9-B52F-426A-A160-6C3C09164117}"/>
              </c:ext>
            </c:extLst>
          </c:dPt>
          <c:dPt>
            <c:idx val="125"/>
            <c:marker>
              <c:spPr>
                <a:solidFill>
                  <a:schemeClr val="accent3">
                    <a:tint val="9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9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9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B-B52F-426A-A160-6C3C09164117}"/>
              </c:ext>
            </c:extLst>
          </c:dPt>
          <c:dPt>
            <c:idx val="126"/>
            <c:marker>
              <c:spPr>
                <a:solidFill>
                  <a:schemeClr val="accent3">
                    <a:tint val="9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9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9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D-B52F-426A-A160-6C3C09164117}"/>
              </c:ext>
            </c:extLst>
          </c:dPt>
          <c:dPt>
            <c:idx val="127"/>
            <c:marker>
              <c:spPr>
                <a:solidFill>
                  <a:schemeClr val="accent3">
                    <a:tint val="9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9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9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F-B52F-426A-A160-6C3C09164117}"/>
              </c:ext>
            </c:extLst>
          </c:dPt>
          <c:dPt>
            <c:idx val="128"/>
            <c:marker>
              <c:spPr>
                <a:solidFill>
                  <a:schemeClr val="accent3">
                    <a:tint val="9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9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9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1-B52F-426A-A160-6C3C09164117}"/>
              </c:ext>
            </c:extLst>
          </c:dPt>
          <c:dPt>
            <c:idx val="129"/>
            <c:marker>
              <c:spPr>
                <a:solidFill>
                  <a:schemeClr val="accent3">
                    <a:tint val="9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9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9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3-B52F-426A-A160-6C3C09164117}"/>
              </c:ext>
            </c:extLst>
          </c:dPt>
          <c:dPt>
            <c:idx val="130"/>
            <c:marker>
              <c:spPr>
                <a:solidFill>
                  <a:schemeClr val="accent3">
                    <a:tint val="9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9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9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5-B52F-426A-A160-6C3C09164117}"/>
              </c:ext>
            </c:extLst>
          </c:dPt>
          <c:dPt>
            <c:idx val="131"/>
            <c:marker>
              <c:spPr>
                <a:solidFill>
                  <a:schemeClr val="accent3">
                    <a:tint val="9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9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9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7-B52F-426A-A160-6C3C09164117}"/>
              </c:ext>
            </c:extLst>
          </c:dPt>
          <c:dPt>
            <c:idx val="132"/>
            <c:marker>
              <c:spPr>
                <a:solidFill>
                  <a:schemeClr val="accent3">
                    <a:tint val="9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9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9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9-B52F-426A-A160-6C3C09164117}"/>
              </c:ext>
            </c:extLst>
          </c:dPt>
          <c:dPt>
            <c:idx val="133"/>
            <c:marker>
              <c:spPr>
                <a:solidFill>
                  <a:schemeClr val="accent3">
                    <a:tint val="9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9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9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B-B52F-426A-A160-6C3C09164117}"/>
              </c:ext>
            </c:extLst>
          </c:dPt>
          <c:dPt>
            <c:idx val="134"/>
            <c:marker>
              <c:spPr>
                <a:solidFill>
                  <a:schemeClr val="accent3">
                    <a:tint val="9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9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9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D-B52F-426A-A160-6C3C09164117}"/>
              </c:ext>
            </c:extLst>
          </c:dPt>
          <c:dPt>
            <c:idx val="135"/>
            <c:marker>
              <c:spPr>
                <a:solidFill>
                  <a:schemeClr val="accent3">
                    <a:tint val="9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9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9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F-B52F-426A-A160-6C3C09164117}"/>
              </c:ext>
            </c:extLst>
          </c:dPt>
          <c:dPt>
            <c:idx val="136"/>
            <c:marker>
              <c:spPr>
                <a:solidFill>
                  <a:schemeClr val="accent3">
                    <a:tint val="9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9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9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1-B52F-426A-A160-6C3C09164117}"/>
              </c:ext>
            </c:extLst>
          </c:dPt>
          <c:dPt>
            <c:idx val="137"/>
            <c:marker>
              <c:spPr>
                <a:solidFill>
                  <a:schemeClr val="accent3">
                    <a:tint val="9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9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9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3-B52F-426A-A160-6C3C09164117}"/>
              </c:ext>
            </c:extLst>
          </c:dPt>
          <c:dPt>
            <c:idx val="138"/>
            <c:marker>
              <c:spPr>
                <a:solidFill>
                  <a:schemeClr val="accent3">
                    <a:tint val="9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9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9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5-B52F-426A-A160-6C3C09164117}"/>
              </c:ext>
            </c:extLst>
          </c:dPt>
          <c:dPt>
            <c:idx val="139"/>
            <c:marker>
              <c:spPr>
                <a:solidFill>
                  <a:schemeClr val="accent3">
                    <a:tint val="9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9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9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7-B52F-426A-A160-6C3C09164117}"/>
              </c:ext>
            </c:extLst>
          </c:dPt>
          <c:dPt>
            <c:idx val="140"/>
            <c:marker>
              <c:spPr>
                <a:solidFill>
                  <a:schemeClr val="accent3">
                    <a:tint val="9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9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9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9-B52F-426A-A160-6C3C09164117}"/>
              </c:ext>
            </c:extLst>
          </c:dPt>
          <c:dPt>
            <c:idx val="141"/>
            <c:marker>
              <c:spPr>
                <a:solidFill>
                  <a:schemeClr val="accent3">
                    <a:tint val="9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9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9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B-B52F-426A-A160-6C3C09164117}"/>
              </c:ext>
            </c:extLst>
          </c:dPt>
          <c:dPt>
            <c:idx val="142"/>
            <c:marker>
              <c:spPr>
                <a:solidFill>
                  <a:schemeClr val="accent3">
                    <a:tint val="8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8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8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D-B52F-426A-A160-6C3C09164117}"/>
              </c:ext>
            </c:extLst>
          </c:dPt>
          <c:dPt>
            <c:idx val="143"/>
            <c:marker>
              <c:spPr>
                <a:solidFill>
                  <a:schemeClr val="accent3">
                    <a:tint val="8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8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8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F-B52F-426A-A160-6C3C09164117}"/>
              </c:ext>
            </c:extLst>
          </c:dPt>
          <c:dPt>
            <c:idx val="144"/>
            <c:marker>
              <c:spPr>
                <a:solidFill>
                  <a:schemeClr val="accent3">
                    <a:tint val="8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8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8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1-B52F-426A-A160-6C3C09164117}"/>
              </c:ext>
            </c:extLst>
          </c:dPt>
          <c:dPt>
            <c:idx val="145"/>
            <c:marker>
              <c:spPr>
                <a:solidFill>
                  <a:schemeClr val="accent3">
                    <a:tint val="8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8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8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3-B52F-426A-A160-6C3C09164117}"/>
              </c:ext>
            </c:extLst>
          </c:dPt>
          <c:dPt>
            <c:idx val="146"/>
            <c:marker>
              <c:spPr>
                <a:solidFill>
                  <a:schemeClr val="accent3">
                    <a:tint val="8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8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8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5-B52F-426A-A160-6C3C09164117}"/>
              </c:ext>
            </c:extLst>
          </c:dPt>
          <c:dPt>
            <c:idx val="147"/>
            <c:marker>
              <c:spPr>
                <a:solidFill>
                  <a:schemeClr val="accent3">
                    <a:tint val="8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8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8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7-B52F-426A-A160-6C3C09164117}"/>
              </c:ext>
            </c:extLst>
          </c:dPt>
          <c:dPt>
            <c:idx val="148"/>
            <c:marker>
              <c:spPr>
                <a:solidFill>
                  <a:schemeClr val="accent3">
                    <a:tint val="8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8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8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9-B52F-426A-A160-6C3C09164117}"/>
              </c:ext>
            </c:extLst>
          </c:dPt>
          <c:dPt>
            <c:idx val="149"/>
            <c:marker>
              <c:spPr>
                <a:solidFill>
                  <a:schemeClr val="accent3">
                    <a:tint val="8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8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8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B-B52F-426A-A160-6C3C09164117}"/>
              </c:ext>
            </c:extLst>
          </c:dPt>
          <c:dPt>
            <c:idx val="150"/>
            <c:marker>
              <c:spPr>
                <a:solidFill>
                  <a:schemeClr val="accent3">
                    <a:tint val="8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8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8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D-B52F-426A-A160-6C3C09164117}"/>
              </c:ext>
            </c:extLst>
          </c:dPt>
          <c:dPt>
            <c:idx val="151"/>
            <c:marker>
              <c:spPr>
                <a:solidFill>
                  <a:schemeClr val="accent3">
                    <a:tint val="8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8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8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F-B52F-426A-A160-6C3C09164117}"/>
              </c:ext>
            </c:extLst>
          </c:dPt>
          <c:dPt>
            <c:idx val="152"/>
            <c:marker>
              <c:spPr>
                <a:solidFill>
                  <a:schemeClr val="accent3">
                    <a:tint val="8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8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8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1-B52F-426A-A160-6C3C09164117}"/>
              </c:ext>
            </c:extLst>
          </c:dPt>
          <c:dPt>
            <c:idx val="153"/>
            <c:marker>
              <c:spPr>
                <a:solidFill>
                  <a:schemeClr val="accent3">
                    <a:tint val="8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8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8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3-B52F-426A-A160-6C3C09164117}"/>
              </c:ext>
            </c:extLst>
          </c:dPt>
          <c:dPt>
            <c:idx val="154"/>
            <c:marker>
              <c:spPr>
                <a:solidFill>
                  <a:schemeClr val="accent3">
                    <a:tint val="8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8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8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5-B52F-426A-A160-6C3C09164117}"/>
              </c:ext>
            </c:extLst>
          </c:dPt>
          <c:dPt>
            <c:idx val="155"/>
            <c:marker>
              <c:spPr>
                <a:solidFill>
                  <a:schemeClr val="accent3">
                    <a:tint val="8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8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8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7-B52F-426A-A160-6C3C09164117}"/>
              </c:ext>
            </c:extLst>
          </c:dPt>
          <c:dPt>
            <c:idx val="156"/>
            <c:marker>
              <c:spPr>
                <a:solidFill>
                  <a:schemeClr val="accent3">
                    <a:tint val="8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8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8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9-B52F-426A-A160-6C3C09164117}"/>
              </c:ext>
            </c:extLst>
          </c:dPt>
          <c:dPt>
            <c:idx val="157"/>
            <c:marker>
              <c:spPr>
                <a:solidFill>
                  <a:schemeClr val="accent3">
                    <a:tint val="8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8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8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B-B52F-426A-A160-6C3C09164117}"/>
              </c:ext>
            </c:extLst>
          </c:dPt>
          <c:dPt>
            <c:idx val="158"/>
            <c:marker>
              <c:spPr>
                <a:solidFill>
                  <a:schemeClr val="accent3">
                    <a:tint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8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D-B52F-426A-A160-6C3C09164117}"/>
              </c:ext>
            </c:extLst>
          </c:dPt>
          <c:dPt>
            <c:idx val="159"/>
            <c:marker>
              <c:spPr>
                <a:solidFill>
                  <a:schemeClr val="accent3">
                    <a:tint val="7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7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7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F-B52F-426A-A160-6C3C09164117}"/>
              </c:ext>
            </c:extLst>
          </c:dPt>
          <c:dPt>
            <c:idx val="160"/>
            <c:marker>
              <c:spPr>
                <a:solidFill>
                  <a:schemeClr val="accent3">
                    <a:tint val="7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7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7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1-B52F-426A-A160-6C3C09164117}"/>
              </c:ext>
            </c:extLst>
          </c:dPt>
          <c:dPt>
            <c:idx val="161"/>
            <c:marker>
              <c:spPr>
                <a:solidFill>
                  <a:schemeClr val="accent3">
                    <a:tint val="7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7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7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3-B52F-426A-A160-6C3C09164117}"/>
              </c:ext>
            </c:extLst>
          </c:dPt>
          <c:dPt>
            <c:idx val="162"/>
            <c:marker>
              <c:spPr>
                <a:solidFill>
                  <a:schemeClr val="accent3">
                    <a:tint val="7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7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7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5-B52F-426A-A160-6C3C09164117}"/>
              </c:ext>
            </c:extLst>
          </c:dPt>
          <c:dPt>
            <c:idx val="163"/>
            <c:marker>
              <c:spPr>
                <a:solidFill>
                  <a:schemeClr val="accent3">
                    <a:tint val="7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7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7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7-B52F-426A-A160-6C3C09164117}"/>
              </c:ext>
            </c:extLst>
          </c:dPt>
          <c:dPt>
            <c:idx val="164"/>
            <c:marker>
              <c:spPr>
                <a:solidFill>
                  <a:schemeClr val="accent3">
                    <a:tint val="7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7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7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9-B52F-426A-A160-6C3C09164117}"/>
              </c:ext>
            </c:extLst>
          </c:dPt>
          <c:dPt>
            <c:idx val="165"/>
            <c:marker>
              <c:spPr>
                <a:solidFill>
                  <a:schemeClr val="accent3">
                    <a:tint val="7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7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7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B-B52F-426A-A160-6C3C09164117}"/>
              </c:ext>
            </c:extLst>
          </c:dPt>
          <c:dPt>
            <c:idx val="166"/>
            <c:marker>
              <c:spPr>
                <a:solidFill>
                  <a:schemeClr val="accent3">
                    <a:tint val="7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7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7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D-B52F-426A-A160-6C3C09164117}"/>
              </c:ext>
            </c:extLst>
          </c:dPt>
          <c:dPt>
            <c:idx val="167"/>
            <c:marker>
              <c:spPr>
                <a:solidFill>
                  <a:schemeClr val="accent3">
                    <a:tint val="7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7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7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F-B52F-426A-A160-6C3C09164117}"/>
              </c:ext>
            </c:extLst>
          </c:dPt>
          <c:dPt>
            <c:idx val="168"/>
            <c:marker>
              <c:spPr>
                <a:solidFill>
                  <a:schemeClr val="accent3">
                    <a:tint val="7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7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7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1-B52F-426A-A160-6C3C09164117}"/>
              </c:ext>
            </c:extLst>
          </c:dPt>
          <c:dPt>
            <c:idx val="169"/>
            <c:marker>
              <c:spPr>
                <a:solidFill>
                  <a:schemeClr val="accent3">
                    <a:tint val="7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7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7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3-B52F-426A-A160-6C3C09164117}"/>
              </c:ext>
            </c:extLst>
          </c:dPt>
          <c:dPt>
            <c:idx val="170"/>
            <c:marker>
              <c:spPr>
                <a:solidFill>
                  <a:schemeClr val="accent3">
                    <a:tint val="7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7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7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5-B52F-426A-A160-6C3C09164117}"/>
              </c:ext>
            </c:extLst>
          </c:dPt>
          <c:dPt>
            <c:idx val="171"/>
            <c:marker>
              <c:spPr>
                <a:solidFill>
                  <a:schemeClr val="accent3">
                    <a:tint val="7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7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7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7-B52F-426A-A160-6C3C09164117}"/>
              </c:ext>
            </c:extLst>
          </c:dPt>
          <c:dPt>
            <c:idx val="172"/>
            <c:marker>
              <c:spPr>
                <a:solidFill>
                  <a:schemeClr val="accent3">
                    <a:tint val="7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7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7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9-B52F-426A-A160-6C3C09164117}"/>
              </c:ext>
            </c:extLst>
          </c:dPt>
          <c:dPt>
            <c:idx val="173"/>
            <c:marker>
              <c:spPr>
                <a:solidFill>
                  <a:schemeClr val="accent3">
                    <a:tint val="7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7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7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B-B52F-426A-A160-6C3C09164117}"/>
              </c:ext>
            </c:extLst>
          </c:dPt>
          <c:dPt>
            <c:idx val="174"/>
            <c:marker>
              <c:spPr>
                <a:solidFill>
                  <a:schemeClr val="accent3">
                    <a:tint val="7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7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7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D-B52F-426A-A160-6C3C09164117}"/>
              </c:ext>
            </c:extLst>
          </c:dPt>
          <c:dPt>
            <c:idx val="175"/>
            <c:marker>
              <c:spPr>
                <a:solidFill>
                  <a:schemeClr val="accent3">
                    <a:tint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7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F-B52F-426A-A160-6C3C09164117}"/>
              </c:ext>
            </c:extLst>
          </c:dPt>
          <c:dPt>
            <c:idx val="176"/>
            <c:marker>
              <c:spPr>
                <a:solidFill>
                  <a:schemeClr val="accent3">
                    <a:tint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7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1-B52F-426A-A160-6C3C09164117}"/>
              </c:ext>
            </c:extLst>
          </c:dPt>
          <c:dPt>
            <c:idx val="177"/>
            <c:marker>
              <c:spPr>
                <a:solidFill>
                  <a:schemeClr val="accent3">
                    <a:tint val="6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6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6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3-B52F-426A-A160-6C3C09164117}"/>
              </c:ext>
            </c:extLst>
          </c:dPt>
          <c:dPt>
            <c:idx val="178"/>
            <c:marker>
              <c:spPr>
                <a:solidFill>
                  <a:schemeClr val="accent3">
                    <a:tint val="6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6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6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5-B52F-426A-A160-6C3C09164117}"/>
              </c:ext>
            </c:extLst>
          </c:dPt>
          <c:dPt>
            <c:idx val="179"/>
            <c:marker>
              <c:spPr>
                <a:solidFill>
                  <a:schemeClr val="accent3">
                    <a:tint val="6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6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6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7-B52F-426A-A160-6C3C09164117}"/>
              </c:ext>
            </c:extLst>
          </c:dPt>
          <c:dPt>
            <c:idx val="180"/>
            <c:marker>
              <c:spPr>
                <a:solidFill>
                  <a:schemeClr val="accent3">
                    <a:tint val="6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6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6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9-B52F-426A-A160-6C3C09164117}"/>
              </c:ext>
            </c:extLst>
          </c:dPt>
          <c:dPt>
            <c:idx val="181"/>
            <c:marker>
              <c:spPr>
                <a:solidFill>
                  <a:schemeClr val="accent3">
                    <a:tint val="6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6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6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B-B52F-426A-A160-6C3C09164117}"/>
              </c:ext>
            </c:extLst>
          </c:dPt>
          <c:dPt>
            <c:idx val="182"/>
            <c:marker>
              <c:spPr>
                <a:solidFill>
                  <a:schemeClr val="accent3">
                    <a:tint val="6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6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6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D-B52F-426A-A160-6C3C09164117}"/>
              </c:ext>
            </c:extLst>
          </c:dPt>
          <c:dPt>
            <c:idx val="183"/>
            <c:marker>
              <c:spPr>
                <a:solidFill>
                  <a:schemeClr val="accent3">
                    <a:tint val="6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6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6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F-B52F-426A-A160-6C3C09164117}"/>
              </c:ext>
            </c:extLst>
          </c:dPt>
          <c:dPt>
            <c:idx val="184"/>
            <c:marker>
              <c:spPr>
                <a:solidFill>
                  <a:schemeClr val="accent3">
                    <a:tint val="6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6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6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1-B52F-426A-A160-6C3C09164117}"/>
              </c:ext>
            </c:extLst>
          </c:dPt>
          <c:dPt>
            <c:idx val="185"/>
            <c:marker>
              <c:spPr>
                <a:solidFill>
                  <a:schemeClr val="accent3">
                    <a:tint val="6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6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6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3-B52F-426A-A160-6C3C09164117}"/>
              </c:ext>
            </c:extLst>
          </c:dPt>
          <c:dPt>
            <c:idx val="186"/>
            <c:marker>
              <c:spPr>
                <a:solidFill>
                  <a:schemeClr val="accent3">
                    <a:tint val="6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6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6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5-B52F-426A-A160-6C3C09164117}"/>
              </c:ext>
            </c:extLst>
          </c:dPt>
          <c:dPt>
            <c:idx val="187"/>
            <c:marker>
              <c:spPr>
                <a:solidFill>
                  <a:schemeClr val="accent3">
                    <a:tint val="6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6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6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7-B52F-426A-A160-6C3C09164117}"/>
              </c:ext>
            </c:extLst>
          </c:dPt>
          <c:dPt>
            <c:idx val="188"/>
            <c:marker>
              <c:spPr>
                <a:solidFill>
                  <a:schemeClr val="accent3">
                    <a:tint val="6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6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6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9-B52F-426A-A160-6C3C09164117}"/>
              </c:ext>
            </c:extLst>
          </c:dPt>
          <c:dPt>
            <c:idx val="189"/>
            <c:marker>
              <c:spPr>
                <a:solidFill>
                  <a:schemeClr val="accent3">
                    <a:tint val="6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6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6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B-B52F-426A-A160-6C3C09164117}"/>
              </c:ext>
            </c:extLst>
          </c:dPt>
          <c:dPt>
            <c:idx val="190"/>
            <c:marker>
              <c:spPr>
                <a:solidFill>
                  <a:schemeClr val="accent3">
                    <a:tint val="6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6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6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D-B52F-426A-A160-6C3C09164117}"/>
              </c:ext>
            </c:extLst>
          </c:dPt>
          <c:dPt>
            <c:idx val="191"/>
            <c:marker>
              <c:spPr>
                <a:solidFill>
                  <a:schemeClr val="accent3">
                    <a:tint val="6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6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6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F-B52F-426A-A160-6C3C09164117}"/>
              </c:ext>
            </c:extLst>
          </c:dPt>
          <c:dPt>
            <c:idx val="192"/>
            <c:marker>
              <c:spPr>
                <a:solidFill>
                  <a:schemeClr val="accent3">
                    <a:tint val="6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6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6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1-B52F-426A-A160-6C3C09164117}"/>
              </c:ext>
            </c:extLst>
          </c:dPt>
          <c:dPt>
            <c:idx val="193"/>
            <c:marker>
              <c:spPr>
                <a:solidFill>
                  <a:schemeClr val="accent3">
                    <a:tint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3-B52F-426A-A160-6C3C09164117}"/>
              </c:ext>
            </c:extLst>
          </c:dPt>
          <c:dPt>
            <c:idx val="194"/>
            <c:marker>
              <c:spPr>
                <a:solidFill>
                  <a:schemeClr val="accent3">
                    <a:tint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5-B52F-426A-A160-6C3C09164117}"/>
              </c:ext>
            </c:extLst>
          </c:dPt>
          <c:dPt>
            <c:idx val="195"/>
            <c:marker>
              <c:spPr>
                <a:solidFill>
                  <a:schemeClr val="accent3">
                    <a:tint val="5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5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5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7-B52F-426A-A160-6C3C09164117}"/>
              </c:ext>
            </c:extLst>
          </c:dPt>
          <c:dPt>
            <c:idx val="196"/>
            <c:marker>
              <c:spPr>
                <a:solidFill>
                  <a:schemeClr val="accent3">
                    <a:tint val="5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5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5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9-B52F-426A-A160-6C3C09164117}"/>
              </c:ext>
            </c:extLst>
          </c:dPt>
          <c:dPt>
            <c:idx val="197"/>
            <c:marker>
              <c:spPr>
                <a:solidFill>
                  <a:schemeClr val="accent3">
                    <a:tint val="5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5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5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B-B52F-426A-A160-6C3C09164117}"/>
              </c:ext>
            </c:extLst>
          </c:dPt>
          <c:dPt>
            <c:idx val="198"/>
            <c:marker>
              <c:spPr>
                <a:solidFill>
                  <a:schemeClr val="accent3">
                    <a:tint val="5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5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5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D-B52F-426A-A160-6C3C09164117}"/>
              </c:ext>
            </c:extLst>
          </c:dPt>
          <c:dPt>
            <c:idx val="199"/>
            <c:marker>
              <c:spPr>
                <a:solidFill>
                  <a:schemeClr val="accent3">
                    <a:tint val="5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5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5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F-B52F-426A-A160-6C3C09164117}"/>
              </c:ext>
            </c:extLst>
          </c:dPt>
          <c:dPt>
            <c:idx val="200"/>
            <c:marker>
              <c:spPr>
                <a:solidFill>
                  <a:schemeClr val="accent3">
                    <a:tint val="5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5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5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91-B52F-426A-A160-6C3C09164117}"/>
              </c:ext>
            </c:extLst>
          </c:dPt>
          <c:dPt>
            <c:idx val="201"/>
            <c:marker>
              <c:spPr>
                <a:solidFill>
                  <a:schemeClr val="accent3">
                    <a:tint val="5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5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5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93-B52F-426A-A160-6C3C09164117}"/>
              </c:ext>
            </c:extLst>
          </c:dPt>
          <c:dPt>
            <c:idx val="202"/>
            <c:marker>
              <c:spPr>
                <a:solidFill>
                  <a:schemeClr val="accent3">
                    <a:tint val="5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5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5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95-B52F-426A-A160-6C3C09164117}"/>
              </c:ext>
            </c:extLst>
          </c:dPt>
          <c:dPt>
            <c:idx val="203"/>
            <c:marker>
              <c:spPr>
                <a:solidFill>
                  <a:schemeClr val="accent3">
                    <a:tint val="5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5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5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97-B52F-426A-A160-6C3C09164117}"/>
              </c:ext>
            </c:extLst>
          </c:dPt>
          <c:dPt>
            <c:idx val="204"/>
            <c:marker>
              <c:spPr>
                <a:solidFill>
                  <a:schemeClr val="accent3">
                    <a:tint val="5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5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5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99-B52F-426A-A160-6C3C09164117}"/>
              </c:ext>
            </c:extLst>
          </c:dPt>
          <c:dPt>
            <c:idx val="205"/>
            <c:marker>
              <c:spPr>
                <a:solidFill>
                  <a:schemeClr val="accent3">
                    <a:tint val="5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5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5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9B-B52F-426A-A160-6C3C09164117}"/>
              </c:ext>
            </c:extLst>
          </c:dPt>
          <c:dPt>
            <c:idx val="206"/>
            <c:marker>
              <c:spPr>
                <a:solidFill>
                  <a:schemeClr val="accent3">
                    <a:tint val="5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5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5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9D-B52F-426A-A160-6C3C09164117}"/>
              </c:ext>
            </c:extLst>
          </c:dPt>
          <c:dPt>
            <c:idx val="207"/>
            <c:marker>
              <c:spPr>
                <a:solidFill>
                  <a:schemeClr val="accent3">
                    <a:tint val="5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5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5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9F-B52F-426A-A160-6C3C09164117}"/>
              </c:ext>
            </c:extLst>
          </c:dPt>
          <c:dPt>
            <c:idx val="208"/>
            <c:marker>
              <c:spPr>
                <a:solidFill>
                  <a:schemeClr val="accent3">
                    <a:tint val="5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5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5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A1-B52F-426A-A160-6C3C09164117}"/>
              </c:ext>
            </c:extLst>
          </c:dPt>
          <c:dPt>
            <c:idx val="209"/>
            <c:marker>
              <c:spPr>
                <a:solidFill>
                  <a:schemeClr val="accent3">
                    <a:tint val="5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5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5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A3-B52F-426A-A160-6C3C09164117}"/>
              </c:ext>
            </c:extLst>
          </c:dPt>
          <c:dPt>
            <c:idx val="210"/>
            <c:marker>
              <c:spPr>
                <a:solidFill>
                  <a:schemeClr val="accent3">
                    <a:tint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5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A5-B52F-426A-A160-6C3C09164117}"/>
              </c:ext>
            </c:extLst>
          </c:dPt>
          <c:dPt>
            <c:idx val="211"/>
            <c:marker>
              <c:spPr>
                <a:solidFill>
                  <a:schemeClr val="accent3">
                    <a:tint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5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A7-B52F-426A-A160-6C3C09164117}"/>
              </c:ext>
            </c:extLst>
          </c:dPt>
          <c:dPt>
            <c:idx val="212"/>
            <c:marker>
              <c:spPr>
                <a:solidFill>
                  <a:schemeClr val="accent3">
                    <a:tint val="4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4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4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A9-B52F-426A-A160-6C3C09164117}"/>
              </c:ext>
            </c:extLst>
          </c:dPt>
          <c:dPt>
            <c:idx val="213"/>
            <c:marker>
              <c:spPr>
                <a:solidFill>
                  <a:schemeClr val="accent3">
                    <a:tint val="4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4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4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AB-B52F-426A-A160-6C3C09164117}"/>
              </c:ext>
            </c:extLst>
          </c:dPt>
          <c:dPt>
            <c:idx val="214"/>
            <c:marker>
              <c:spPr>
                <a:solidFill>
                  <a:schemeClr val="accent3">
                    <a:tint val="4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4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4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AD-B52F-426A-A160-6C3C09164117}"/>
              </c:ext>
            </c:extLst>
          </c:dPt>
          <c:dPt>
            <c:idx val="215"/>
            <c:marker>
              <c:spPr>
                <a:solidFill>
                  <a:schemeClr val="accent3">
                    <a:tint val="4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4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4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AF-B52F-426A-A160-6C3C09164117}"/>
              </c:ext>
            </c:extLst>
          </c:dPt>
          <c:dPt>
            <c:idx val="216"/>
            <c:marker>
              <c:spPr>
                <a:solidFill>
                  <a:schemeClr val="accent3">
                    <a:tint val="4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4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4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B1-B52F-426A-A160-6C3C09164117}"/>
              </c:ext>
            </c:extLst>
          </c:dPt>
          <c:dPt>
            <c:idx val="217"/>
            <c:marker>
              <c:spPr>
                <a:solidFill>
                  <a:schemeClr val="accent3">
                    <a:tint val="4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4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4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B3-B52F-426A-A160-6C3C09164117}"/>
              </c:ext>
            </c:extLst>
          </c:dPt>
          <c:dPt>
            <c:idx val="218"/>
            <c:marker>
              <c:spPr>
                <a:solidFill>
                  <a:schemeClr val="accent3">
                    <a:tint val="4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4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4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B5-B52F-426A-A160-6C3C09164117}"/>
              </c:ext>
            </c:extLst>
          </c:dPt>
          <c:dPt>
            <c:idx val="219"/>
            <c:marker>
              <c:spPr>
                <a:solidFill>
                  <a:schemeClr val="accent3">
                    <a:tint val="4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4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4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B7-B52F-426A-A160-6C3C09164117}"/>
              </c:ext>
            </c:extLst>
          </c:dPt>
          <c:dPt>
            <c:idx val="220"/>
            <c:marker>
              <c:spPr>
                <a:solidFill>
                  <a:schemeClr val="accent3">
                    <a:tint val="4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4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4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B9-B52F-426A-A160-6C3C09164117}"/>
              </c:ext>
            </c:extLst>
          </c:dPt>
          <c:dPt>
            <c:idx val="221"/>
            <c:marker>
              <c:spPr>
                <a:solidFill>
                  <a:schemeClr val="accent3">
                    <a:tint val="4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4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4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BB-B52F-426A-A160-6C3C09164117}"/>
              </c:ext>
            </c:extLst>
          </c:dPt>
          <c:dPt>
            <c:idx val="222"/>
            <c:marker>
              <c:spPr>
                <a:solidFill>
                  <a:schemeClr val="accent3">
                    <a:tint val="4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4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4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BD-B52F-426A-A160-6C3C09164117}"/>
              </c:ext>
            </c:extLst>
          </c:dPt>
          <c:dPt>
            <c:idx val="223"/>
            <c:marker>
              <c:spPr>
                <a:solidFill>
                  <a:schemeClr val="accent3">
                    <a:tint val="4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4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4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BF-B52F-426A-A160-6C3C09164117}"/>
              </c:ext>
            </c:extLst>
          </c:dPt>
          <c:dPt>
            <c:idx val="224"/>
            <c:marker>
              <c:spPr>
                <a:solidFill>
                  <a:schemeClr val="accent3">
                    <a:tint val="4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4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4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C1-B52F-426A-A160-6C3C09164117}"/>
              </c:ext>
            </c:extLst>
          </c:dPt>
          <c:dPt>
            <c:idx val="225"/>
            <c:marker>
              <c:spPr>
                <a:solidFill>
                  <a:schemeClr val="accent3">
                    <a:tint val="4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4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4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C3-B52F-426A-A160-6C3C09164117}"/>
              </c:ext>
            </c:extLst>
          </c:dPt>
          <c:dPt>
            <c:idx val="226"/>
            <c:marker>
              <c:spPr>
                <a:solidFill>
                  <a:schemeClr val="accent3">
                    <a:tint val="4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4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4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C5-B52F-426A-A160-6C3C09164117}"/>
              </c:ext>
            </c:extLst>
          </c:dPt>
          <c:dPt>
            <c:idx val="227"/>
            <c:marker>
              <c:spPr>
                <a:solidFill>
                  <a:schemeClr val="accent3">
                    <a:tint val="4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4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4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C7-B52F-426A-A160-6C3C09164117}"/>
              </c:ext>
            </c:extLst>
          </c:dPt>
          <c:dPt>
            <c:idx val="228"/>
            <c:marker>
              <c:spPr>
                <a:solidFill>
                  <a:schemeClr val="accent3">
                    <a:tint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4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C9-B52F-426A-A160-6C3C09164117}"/>
              </c:ext>
            </c:extLst>
          </c:dPt>
          <c:dPt>
            <c:idx val="229"/>
            <c:marker>
              <c:spPr>
                <a:solidFill>
                  <a:schemeClr val="accent3">
                    <a:tint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4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CB-B52F-426A-A160-6C3C09164117}"/>
              </c:ext>
            </c:extLst>
          </c:dPt>
          <c:dPt>
            <c:idx val="230"/>
            <c:marker>
              <c:spPr>
                <a:solidFill>
                  <a:schemeClr val="accent3">
                    <a:tint val="3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3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3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CD-B52F-426A-A160-6C3C09164117}"/>
              </c:ext>
            </c:extLst>
          </c:dPt>
          <c:dPt>
            <c:idx val="231"/>
            <c:marker>
              <c:spPr>
                <a:solidFill>
                  <a:schemeClr val="accent3">
                    <a:tint val="3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3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3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CF-B52F-426A-A160-6C3C09164117}"/>
              </c:ext>
            </c:extLst>
          </c:dPt>
          <c:dPt>
            <c:idx val="232"/>
            <c:marker>
              <c:spPr>
                <a:solidFill>
                  <a:schemeClr val="accent3">
                    <a:tint val="3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3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3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D1-B52F-426A-A160-6C3C09164117}"/>
              </c:ext>
            </c:extLst>
          </c:dPt>
          <c:dPt>
            <c:idx val="233"/>
            <c:marker>
              <c:spPr>
                <a:solidFill>
                  <a:schemeClr val="accent3">
                    <a:tint val="3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3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3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D3-B52F-426A-A160-6C3C09164117}"/>
              </c:ext>
            </c:extLst>
          </c:dPt>
          <c:dPt>
            <c:idx val="234"/>
            <c:marker>
              <c:spPr>
                <a:solidFill>
                  <a:schemeClr val="accent3">
                    <a:tint val="3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3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3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D5-B52F-426A-A160-6C3C09164117}"/>
              </c:ext>
            </c:extLst>
          </c:dPt>
          <c:dPt>
            <c:idx val="235"/>
            <c:marker>
              <c:spPr>
                <a:solidFill>
                  <a:schemeClr val="accent3">
                    <a:tint val="3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3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3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D7-B52F-426A-A160-6C3C09164117}"/>
              </c:ext>
            </c:extLst>
          </c:dPt>
          <c:dPt>
            <c:idx val="236"/>
            <c:marker>
              <c:spPr>
                <a:solidFill>
                  <a:schemeClr val="accent3">
                    <a:tint val="3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3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3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D9-B52F-426A-A160-6C3C09164117}"/>
              </c:ext>
            </c:extLst>
          </c:dPt>
          <c:dPt>
            <c:idx val="237"/>
            <c:marker>
              <c:spPr>
                <a:solidFill>
                  <a:schemeClr val="accent3">
                    <a:tint val="3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3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3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DB-B52F-426A-A160-6C3C09164117}"/>
              </c:ext>
            </c:extLst>
          </c:dPt>
          <c:dPt>
            <c:idx val="238"/>
            <c:marker>
              <c:spPr>
                <a:solidFill>
                  <a:schemeClr val="accent3">
                    <a:tint val="3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3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3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DD-B52F-426A-A160-6C3C09164117}"/>
              </c:ext>
            </c:extLst>
          </c:dPt>
          <c:dPt>
            <c:idx val="239"/>
            <c:marker>
              <c:spPr>
                <a:solidFill>
                  <a:schemeClr val="accent3">
                    <a:tint val="3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3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3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DF-B52F-426A-A160-6C3C09164117}"/>
              </c:ext>
            </c:extLst>
          </c:dPt>
          <c:dPt>
            <c:idx val="240"/>
            <c:marker>
              <c:spPr>
                <a:solidFill>
                  <a:schemeClr val="accent3">
                    <a:tint val="3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3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3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E1-B52F-426A-A160-6C3C09164117}"/>
              </c:ext>
            </c:extLst>
          </c:dPt>
          <c:dPt>
            <c:idx val="241"/>
            <c:marker>
              <c:spPr>
                <a:solidFill>
                  <a:schemeClr val="accent3">
                    <a:tint val="3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3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3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E3-B52F-426A-A160-6C3C09164117}"/>
              </c:ext>
            </c:extLst>
          </c:dPt>
          <c:dPt>
            <c:idx val="242"/>
            <c:marker>
              <c:spPr>
                <a:solidFill>
                  <a:schemeClr val="accent3">
                    <a:tint val="3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3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3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E5-B52F-426A-A160-6C3C09164117}"/>
              </c:ext>
            </c:extLst>
          </c:dPt>
          <c:dPt>
            <c:idx val="243"/>
            <c:marker>
              <c:spPr>
                <a:solidFill>
                  <a:schemeClr val="accent3">
                    <a:tint val="3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3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3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E7-B52F-426A-A160-6C3C09164117}"/>
              </c:ext>
            </c:extLst>
          </c:dPt>
          <c:dPt>
            <c:idx val="244"/>
            <c:marker>
              <c:spPr>
                <a:solidFill>
                  <a:schemeClr val="accent3">
                    <a:tint val="3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tint val="3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tint val="3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E9-B52F-426A-A160-6C3C09164117}"/>
              </c:ext>
            </c:extLst>
          </c:dPt>
          <c:trendline>
            <c:spPr>
              <a:ln w="25400" cap="rnd">
                <a:solidFill>
                  <a:schemeClr val="accent3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TABLE'!$T$5:$T$249</c:f>
              <c:numCache>
                <c:formatCode>General</c:formatCode>
                <c:ptCount val="245"/>
                <c:pt idx="0">
                  <c:v>76.400000000000006</c:v>
                </c:pt>
                <c:pt idx="1">
                  <c:v>62.3</c:v>
                </c:pt>
                <c:pt idx="2">
                  <c:v>89.7</c:v>
                </c:pt>
                <c:pt idx="3">
                  <c:v>73.099999999999994</c:v>
                </c:pt>
                <c:pt idx="4">
                  <c:v>90.7</c:v>
                </c:pt>
                <c:pt idx="5">
                  <c:v>73.2</c:v>
                </c:pt>
                <c:pt idx="6">
                  <c:v>82.7</c:v>
                </c:pt>
                <c:pt idx="7">
                  <c:v>95.7</c:v>
                </c:pt>
                <c:pt idx="8">
                  <c:v>59.9</c:v>
                </c:pt>
                <c:pt idx="9">
                  <c:v>74.7</c:v>
                </c:pt>
                <c:pt idx="10">
                  <c:v>73.900000000000006</c:v>
                </c:pt>
                <c:pt idx="11">
                  <c:v>80.3</c:v>
                </c:pt>
                <c:pt idx="12">
                  <c:v>81.599999999999994</c:v>
                </c:pt>
                <c:pt idx="13">
                  <c:v>72.400000000000006</c:v>
                </c:pt>
                <c:pt idx="14">
                  <c:v>76.099999999999994</c:v>
                </c:pt>
                <c:pt idx="15">
                  <c:v>75</c:v>
                </c:pt>
                <c:pt idx="16">
                  <c:v>78.8</c:v>
                </c:pt>
                <c:pt idx="17">
                  <c:v>84</c:v>
                </c:pt>
                <c:pt idx="18">
                  <c:v>90.2</c:v>
                </c:pt>
                <c:pt idx="19">
                  <c:v>91.5</c:v>
                </c:pt>
                <c:pt idx="20">
                  <c:v>87.9</c:v>
                </c:pt>
                <c:pt idx="21">
                  <c:v>74.099999999999994</c:v>
                </c:pt>
                <c:pt idx="22">
                  <c:v>82</c:v>
                </c:pt>
                <c:pt idx="23">
                  <c:v>100</c:v>
                </c:pt>
                <c:pt idx="24">
                  <c:v>91.1</c:v>
                </c:pt>
                <c:pt idx="25">
                  <c:v>78</c:v>
                </c:pt>
                <c:pt idx="26">
                  <c:v>96.2</c:v>
                </c:pt>
                <c:pt idx="27">
                  <c:v>78.5</c:v>
                </c:pt>
                <c:pt idx="28">
                  <c:v>76</c:v>
                </c:pt>
                <c:pt idx="29">
                  <c:v>94.6</c:v>
                </c:pt>
                <c:pt idx="30">
                  <c:v>70.2</c:v>
                </c:pt>
                <c:pt idx="31">
                  <c:v>64.8</c:v>
                </c:pt>
                <c:pt idx="32">
                  <c:v>90.5</c:v>
                </c:pt>
                <c:pt idx="33">
                  <c:v>82.2</c:v>
                </c:pt>
                <c:pt idx="34">
                  <c:v>83.1</c:v>
                </c:pt>
                <c:pt idx="35">
                  <c:v>78.7</c:v>
                </c:pt>
                <c:pt idx="36">
                  <c:v>79.900000000000006</c:v>
                </c:pt>
                <c:pt idx="37">
                  <c:v>77.900000000000006</c:v>
                </c:pt>
                <c:pt idx="38">
                  <c:v>76.400000000000006</c:v>
                </c:pt>
                <c:pt idx="39">
                  <c:v>78.599999999999994</c:v>
                </c:pt>
                <c:pt idx="40">
                  <c:v>78.3</c:v>
                </c:pt>
                <c:pt idx="41">
                  <c:v>74.5</c:v>
                </c:pt>
                <c:pt idx="42">
                  <c:v>77.099999999999994</c:v>
                </c:pt>
                <c:pt idx="43">
                  <c:v>59.5</c:v>
                </c:pt>
                <c:pt idx="44">
                  <c:v>88.2</c:v>
                </c:pt>
                <c:pt idx="45">
                  <c:v>85.5</c:v>
                </c:pt>
                <c:pt idx="46">
                  <c:v>81.2</c:v>
                </c:pt>
                <c:pt idx="47">
                  <c:v>84.1</c:v>
                </c:pt>
                <c:pt idx="48">
                  <c:v>84.5</c:v>
                </c:pt>
                <c:pt idx="49">
                  <c:v>75.5</c:v>
                </c:pt>
                <c:pt idx="50">
                  <c:v>77.2</c:v>
                </c:pt>
                <c:pt idx="51">
                  <c:v>86.8</c:v>
                </c:pt>
                <c:pt idx="52">
                  <c:v>83.9</c:v>
                </c:pt>
                <c:pt idx="53">
                  <c:v>100</c:v>
                </c:pt>
                <c:pt idx="54">
                  <c:v>96.6</c:v>
                </c:pt>
                <c:pt idx="55">
                  <c:v>90.4</c:v>
                </c:pt>
                <c:pt idx="56">
                  <c:v>75.099999999999994</c:v>
                </c:pt>
                <c:pt idx="57">
                  <c:v>76.900000000000006</c:v>
                </c:pt>
                <c:pt idx="58">
                  <c:v>73</c:v>
                </c:pt>
                <c:pt idx="59">
                  <c:v>84.5</c:v>
                </c:pt>
                <c:pt idx="60">
                  <c:v>57.3</c:v>
                </c:pt>
                <c:pt idx="61">
                  <c:v>77.900000000000006</c:v>
                </c:pt>
                <c:pt idx="62">
                  <c:v>79.2</c:v>
                </c:pt>
                <c:pt idx="63">
                  <c:v>68.3</c:v>
                </c:pt>
                <c:pt idx="64">
                  <c:v>89.2</c:v>
                </c:pt>
                <c:pt idx="65">
                  <c:v>71.7</c:v>
                </c:pt>
                <c:pt idx="66">
                  <c:v>84.4</c:v>
                </c:pt>
                <c:pt idx="67">
                  <c:v>100</c:v>
                </c:pt>
                <c:pt idx="68">
                  <c:v>67.5</c:v>
                </c:pt>
                <c:pt idx="69">
                  <c:v>80.7</c:v>
                </c:pt>
                <c:pt idx="70">
                  <c:v>78.3</c:v>
                </c:pt>
                <c:pt idx="71">
                  <c:v>76.599999999999994</c:v>
                </c:pt>
                <c:pt idx="72">
                  <c:v>88.8</c:v>
                </c:pt>
                <c:pt idx="73">
                  <c:v>92</c:v>
                </c:pt>
                <c:pt idx="74">
                  <c:v>88.9</c:v>
                </c:pt>
                <c:pt idx="75">
                  <c:v>75.5</c:v>
                </c:pt>
                <c:pt idx="76">
                  <c:v>100</c:v>
                </c:pt>
                <c:pt idx="77">
                  <c:v>66.099999999999994</c:v>
                </c:pt>
                <c:pt idx="78">
                  <c:v>72.7</c:v>
                </c:pt>
                <c:pt idx="79">
                  <c:v>83.5</c:v>
                </c:pt>
                <c:pt idx="80">
                  <c:v>82.8</c:v>
                </c:pt>
                <c:pt idx="81">
                  <c:v>86.4</c:v>
                </c:pt>
                <c:pt idx="82">
                  <c:v>96.2</c:v>
                </c:pt>
                <c:pt idx="83">
                  <c:v>80.900000000000006</c:v>
                </c:pt>
                <c:pt idx="84">
                  <c:v>83</c:v>
                </c:pt>
                <c:pt idx="85">
                  <c:v>76.599999999999994</c:v>
                </c:pt>
                <c:pt idx="86">
                  <c:v>87.3</c:v>
                </c:pt>
                <c:pt idx="87">
                  <c:v>79.099999999999994</c:v>
                </c:pt>
                <c:pt idx="88">
                  <c:v>79.099999999999994</c:v>
                </c:pt>
                <c:pt idx="89">
                  <c:v>86.9</c:v>
                </c:pt>
                <c:pt idx="90">
                  <c:v>91.3</c:v>
                </c:pt>
                <c:pt idx="91">
                  <c:v>62.1</c:v>
                </c:pt>
                <c:pt idx="92">
                  <c:v>85.2</c:v>
                </c:pt>
                <c:pt idx="93">
                  <c:v>90.5</c:v>
                </c:pt>
                <c:pt idx="94">
                  <c:v>79.7</c:v>
                </c:pt>
                <c:pt idx="95">
                  <c:v>93.7</c:v>
                </c:pt>
                <c:pt idx="96">
                  <c:v>75.900000000000006</c:v>
                </c:pt>
                <c:pt idx="97">
                  <c:v>61.9</c:v>
                </c:pt>
                <c:pt idx="98">
                  <c:v>91.5</c:v>
                </c:pt>
                <c:pt idx="99">
                  <c:v>74.400000000000006</c:v>
                </c:pt>
                <c:pt idx="100">
                  <c:v>67.8</c:v>
                </c:pt>
                <c:pt idx="101">
                  <c:v>82.1</c:v>
                </c:pt>
                <c:pt idx="102">
                  <c:v>79.8</c:v>
                </c:pt>
                <c:pt idx="103">
                  <c:v>89.4</c:v>
                </c:pt>
                <c:pt idx="104">
                  <c:v>90</c:v>
                </c:pt>
                <c:pt idx="105">
                  <c:v>82.9</c:v>
                </c:pt>
                <c:pt idx="106">
                  <c:v>74</c:v>
                </c:pt>
                <c:pt idx="107">
                  <c:v>84.6</c:v>
                </c:pt>
                <c:pt idx="108">
                  <c:v>83.5</c:v>
                </c:pt>
                <c:pt idx="109">
                  <c:v>87.1</c:v>
                </c:pt>
                <c:pt idx="110">
                  <c:v>74.099999999999994</c:v>
                </c:pt>
                <c:pt idx="111">
                  <c:v>78.400000000000006</c:v>
                </c:pt>
                <c:pt idx="112">
                  <c:v>86.6</c:v>
                </c:pt>
                <c:pt idx="113">
                  <c:v>93.2</c:v>
                </c:pt>
                <c:pt idx="114">
                  <c:v>90.7</c:v>
                </c:pt>
                <c:pt idx="115">
                  <c:v>82.7</c:v>
                </c:pt>
                <c:pt idx="116">
                  <c:v>77.599999999999994</c:v>
                </c:pt>
                <c:pt idx="117">
                  <c:v>85.6</c:v>
                </c:pt>
                <c:pt idx="118">
                  <c:v>72.2</c:v>
                </c:pt>
                <c:pt idx="119">
                  <c:v>74.599999999999994</c:v>
                </c:pt>
                <c:pt idx="120">
                  <c:v>95.6</c:v>
                </c:pt>
                <c:pt idx="121">
                  <c:v>85.6</c:v>
                </c:pt>
                <c:pt idx="122">
                  <c:v>78.900000000000006</c:v>
                </c:pt>
                <c:pt idx="123">
                  <c:v>89.5</c:v>
                </c:pt>
                <c:pt idx="124">
                  <c:v>93.6</c:v>
                </c:pt>
                <c:pt idx="125">
                  <c:v>78.2</c:v>
                </c:pt>
                <c:pt idx="126">
                  <c:v>77</c:v>
                </c:pt>
                <c:pt idx="127">
                  <c:v>90.7</c:v>
                </c:pt>
                <c:pt idx="128">
                  <c:v>90.8</c:v>
                </c:pt>
                <c:pt idx="129">
                  <c:v>94.5</c:v>
                </c:pt>
                <c:pt idx="130">
                  <c:v>91.1</c:v>
                </c:pt>
                <c:pt idx="131">
                  <c:v>67.3</c:v>
                </c:pt>
                <c:pt idx="132">
                  <c:v>84.5</c:v>
                </c:pt>
                <c:pt idx="133">
                  <c:v>72.5</c:v>
                </c:pt>
                <c:pt idx="134">
                  <c:v>77.400000000000006</c:v>
                </c:pt>
                <c:pt idx="135">
                  <c:v>83.5</c:v>
                </c:pt>
                <c:pt idx="136">
                  <c:v>89.5</c:v>
                </c:pt>
                <c:pt idx="137">
                  <c:v>74</c:v>
                </c:pt>
                <c:pt idx="138">
                  <c:v>61.1</c:v>
                </c:pt>
                <c:pt idx="139">
                  <c:v>83.6</c:v>
                </c:pt>
                <c:pt idx="140">
                  <c:v>100</c:v>
                </c:pt>
                <c:pt idx="141">
                  <c:v>82.4</c:v>
                </c:pt>
                <c:pt idx="142">
                  <c:v>98</c:v>
                </c:pt>
                <c:pt idx="143">
                  <c:v>87.3</c:v>
                </c:pt>
                <c:pt idx="144">
                  <c:v>84</c:v>
                </c:pt>
                <c:pt idx="145">
                  <c:v>86</c:v>
                </c:pt>
                <c:pt idx="146">
                  <c:v>84.3</c:v>
                </c:pt>
                <c:pt idx="147">
                  <c:v>71.7</c:v>
                </c:pt>
                <c:pt idx="148">
                  <c:v>69.900000000000006</c:v>
                </c:pt>
                <c:pt idx="149">
                  <c:v>99</c:v>
                </c:pt>
                <c:pt idx="150">
                  <c:v>83.7</c:v>
                </c:pt>
                <c:pt idx="151">
                  <c:v>82.9</c:v>
                </c:pt>
                <c:pt idx="152">
                  <c:v>81.2</c:v>
                </c:pt>
                <c:pt idx="153">
                  <c:v>89</c:v>
                </c:pt>
                <c:pt idx="154">
                  <c:v>100</c:v>
                </c:pt>
                <c:pt idx="155">
                  <c:v>86.7</c:v>
                </c:pt>
                <c:pt idx="156">
                  <c:v>76.7</c:v>
                </c:pt>
                <c:pt idx="157">
                  <c:v>80.8</c:v>
                </c:pt>
                <c:pt idx="158">
                  <c:v>91.6</c:v>
                </c:pt>
                <c:pt idx="159">
                  <c:v>76.8</c:v>
                </c:pt>
                <c:pt idx="160">
                  <c:v>89.7</c:v>
                </c:pt>
                <c:pt idx="161">
                  <c:v>61.1</c:v>
                </c:pt>
                <c:pt idx="162">
                  <c:v>79.900000000000006</c:v>
                </c:pt>
                <c:pt idx="163">
                  <c:v>87.7</c:v>
                </c:pt>
                <c:pt idx="164">
                  <c:v>93.4</c:v>
                </c:pt>
                <c:pt idx="165">
                  <c:v>74.599999999999994</c:v>
                </c:pt>
                <c:pt idx="166">
                  <c:v>68.5</c:v>
                </c:pt>
                <c:pt idx="167">
                  <c:v>79.7</c:v>
                </c:pt>
                <c:pt idx="168">
                  <c:v>71.900000000000006</c:v>
                </c:pt>
                <c:pt idx="169">
                  <c:v>80.7</c:v>
                </c:pt>
                <c:pt idx="170">
                  <c:v>81.900000000000006</c:v>
                </c:pt>
                <c:pt idx="171">
                  <c:v>70.099999999999994</c:v>
                </c:pt>
                <c:pt idx="172">
                  <c:v>89.2</c:v>
                </c:pt>
                <c:pt idx="173">
                  <c:v>80.599999999999994</c:v>
                </c:pt>
                <c:pt idx="174">
                  <c:v>91.7</c:v>
                </c:pt>
                <c:pt idx="175">
                  <c:v>65.400000000000006</c:v>
                </c:pt>
                <c:pt idx="176">
                  <c:v>72.8</c:v>
                </c:pt>
                <c:pt idx="177">
                  <c:v>86.7</c:v>
                </c:pt>
                <c:pt idx="178">
                  <c:v>74.8</c:v>
                </c:pt>
                <c:pt idx="179">
                  <c:v>80.5</c:v>
                </c:pt>
                <c:pt idx="180">
                  <c:v>82</c:v>
                </c:pt>
                <c:pt idx="181">
                  <c:v>83.4</c:v>
                </c:pt>
                <c:pt idx="182">
                  <c:v>75.900000000000006</c:v>
                </c:pt>
                <c:pt idx="183">
                  <c:v>83.3</c:v>
                </c:pt>
                <c:pt idx="184">
                  <c:v>75</c:v>
                </c:pt>
                <c:pt idx="185">
                  <c:v>88.1</c:v>
                </c:pt>
                <c:pt idx="186">
                  <c:v>81</c:v>
                </c:pt>
                <c:pt idx="187">
                  <c:v>83.4</c:v>
                </c:pt>
                <c:pt idx="188">
                  <c:v>100</c:v>
                </c:pt>
                <c:pt idx="189">
                  <c:v>72</c:v>
                </c:pt>
                <c:pt idx="190">
                  <c:v>94.5</c:v>
                </c:pt>
                <c:pt idx="191">
                  <c:v>58.1</c:v>
                </c:pt>
                <c:pt idx="192">
                  <c:v>63.3</c:v>
                </c:pt>
                <c:pt idx="193">
                  <c:v>70.8</c:v>
                </c:pt>
                <c:pt idx="194">
                  <c:v>71.400000000000006</c:v>
                </c:pt>
                <c:pt idx="195">
                  <c:v>83.8</c:v>
                </c:pt>
                <c:pt idx="196">
                  <c:v>84.6</c:v>
                </c:pt>
                <c:pt idx="197">
                  <c:v>79.7</c:v>
                </c:pt>
                <c:pt idx="198">
                  <c:v>80.7</c:v>
                </c:pt>
                <c:pt idx="199">
                  <c:v>86.7</c:v>
                </c:pt>
                <c:pt idx="200">
                  <c:v>89.5</c:v>
                </c:pt>
                <c:pt idx="201">
                  <c:v>70.099999999999994</c:v>
                </c:pt>
                <c:pt idx="202">
                  <c:v>78.7</c:v>
                </c:pt>
                <c:pt idx="203">
                  <c:v>81.400000000000006</c:v>
                </c:pt>
                <c:pt idx="204">
                  <c:v>86.4</c:v>
                </c:pt>
                <c:pt idx="205">
                  <c:v>75</c:v>
                </c:pt>
                <c:pt idx="206">
                  <c:v>81.2</c:v>
                </c:pt>
                <c:pt idx="207">
                  <c:v>82.3</c:v>
                </c:pt>
                <c:pt idx="208">
                  <c:v>75.7</c:v>
                </c:pt>
                <c:pt idx="209">
                  <c:v>75.400000000000006</c:v>
                </c:pt>
                <c:pt idx="210">
                  <c:v>82.9</c:v>
                </c:pt>
                <c:pt idx="211">
                  <c:v>80.8</c:v>
                </c:pt>
                <c:pt idx="212">
                  <c:v>86.5</c:v>
                </c:pt>
                <c:pt idx="213">
                  <c:v>72.5</c:v>
                </c:pt>
                <c:pt idx="214">
                  <c:v>78.8</c:v>
                </c:pt>
                <c:pt idx="215">
                  <c:v>79.900000000000006</c:v>
                </c:pt>
                <c:pt idx="216">
                  <c:v>89.3</c:v>
                </c:pt>
                <c:pt idx="217">
                  <c:v>84.1</c:v>
                </c:pt>
                <c:pt idx="218">
                  <c:v>84.3</c:v>
                </c:pt>
                <c:pt idx="219">
                  <c:v>96.8</c:v>
                </c:pt>
                <c:pt idx="220">
                  <c:v>72.900000000000006</c:v>
                </c:pt>
                <c:pt idx="221">
                  <c:v>76.099999999999994</c:v>
                </c:pt>
                <c:pt idx="222">
                  <c:v>73.599999999999994</c:v>
                </c:pt>
                <c:pt idx="223">
                  <c:v>67</c:v>
                </c:pt>
                <c:pt idx="224">
                  <c:v>97.9</c:v>
                </c:pt>
                <c:pt idx="225">
                  <c:v>70.8</c:v>
                </c:pt>
                <c:pt idx="226">
                  <c:v>74.7</c:v>
                </c:pt>
                <c:pt idx="227">
                  <c:v>93.8</c:v>
                </c:pt>
                <c:pt idx="228">
                  <c:v>66.2</c:v>
                </c:pt>
                <c:pt idx="229">
                  <c:v>88.8</c:v>
                </c:pt>
                <c:pt idx="230">
                  <c:v>69.3</c:v>
                </c:pt>
                <c:pt idx="231">
                  <c:v>93.2</c:v>
                </c:pt>
                <c:pt idx="232">
                  <c:v>62.5</c:v>
                </c:pt>
                <c:pt idx="233">
                  <c:v>66.2</c:v>
                </c:pt>
                <c:pt idx="234">
                  <c:v>77.099999999999994</c:v>
                </c:pt>
                <c:pt idx="235">
                  <c:v>90.7</c:v>
                </c:pt>
                <c:pt idx="236">
                  <c:v>81.7</c:v>
                </c:pt>
                <c:pt idx="237">
                  <c:v>79</c:v>
                </c:pt>
                <c:pt idx="238">
                  <c:v>94.1</c:v>
                </c:pt>
                <c:pt idx="239">
                  <c:v>100</c:v>
                </c:pt>
                <c:pt idx="240">
                  <c:v>88.1</c:v>
                </c:pt>
                <c:pt idx="241">
                  <c:v>76.400000000000006</c:v>
                </c:pt>
                <c:pt idx="242">
                  <c:v>78.2</c:v>
                </c:pt>
                <c:pt idx="243">
                  <c:v>70.400000000000006</c:v>
                </c:pt>
                <c:pt idx="244">
                  <c:v>82.9</c:v>
                </c:pt>
              </c:numCache>
            </c:numRef>
          </c:xVal>
          <c:yVal>
            <c:numRef>
              <c:f>'PIVOT TABLE'!$U$5:$U$249</c:f>
              <c:numCache>
                <c:formatCode>General</c:formatCode>
                <c:ptCount val="245"/>
                <c:pt idx="0">
                  <c:v>74.900000000000006</c:v>
                </c:pt>
                <c:pt idx="1">
                  <c:v>66.099999999999994</c:v>
                </c:pt>
                <c:pt idx="2">
                  <c:v>94</c:v>
                </c:pt>
                <c:pt idx="3">
                  <c:v>80</c:v>
                </c:pt>
                <c:pt idx="4">
                  <c:v>62.7</c:v>
                </c:pt>
                <c:pt idx="5">
                  <c:v>84.4</c:v>
                </c:pt>
                <c:pt idx="6">
                  <c:v>82.5</c:v>
                </c:pt>
                <c:pt idx="7">
                  <c:v>71.900000000000006</c:v>
                </c:pt>
                <c:pt idx="8">
                  <c:v>55.4</c:v>
                </c:pt>
                <c:pt idx="9">
                  <c:v>75.2</c:v>
                </c:pt>
                <c:pt idx="10">
                  <c:v>84.6</c:v>
                </c:pt>
                <c:pt idx="11">
                  <c:v>61.3</c:v>
                </c:pt>
                <c:pt idx="12">
                  <c:v>81.2</c:v>
                </c:pt>
                <c:pt idx="13">
                  <c:v>79.5</c:v>
                </c:pt>
                <c:pt idx="14">
                  <c:v>70.599999999999994</c:v>
                </c:pt>
                <c:pt idx="15">
                  <c:v>73.3</c:v>
                </c:pt>
                <c:pt idx="16">
                  <c:v>74.7</c:v>
                </c:pt>
                <c:pt idx="17">
                  <c:v>69.2</c:v>
                </c:pt>
                <c:pt idx="18">
                  <c:v>72.400000000000006</c:v>
                </c:pt>
                <c:pt idx="19">
                  <c:v>100</c:v>
                </c:pt>
                <c:pt idx="20">
                  <c:v>70.5</c:v>
                </c:pt>
                <c:pt idx="21">
                  <c:v>84.9</c:v>
                </c:pt>
                <c:pt idx="22">
                  <c:v>80.8</c:v>
                </c:pt>
                <c:pt idx="23">
                  <c:v>92.4</c:v>
                </c:pt>
                <c:pt idx="24">
                  <c:v>82.2</c:v>
                </c:pt>
                <c:pt idx="25">
                  <c:v>93.7</c:v>
                </c:pt>
                <c:pt idx="26">
                  <c:v>97.2</c:v>
                </c:pt>
                <c:pt idx="27">
                  <c:v>78.8</c:v>
                </c:pt>
                <c:pt idx="28">
                  <c:v>88.7</c:v>
                </c:pt>
                <c:pt idx="29">
                  <c:v>81.8</c:v>
                </c:pt>
                <c:pt idx="30">
                  <c:v>79.8</c:v>
                </c:pt>
                <c:pt idx="31">
                  <c:v>67.599999999999994</c:v>
                </c:pt>
                <c:pt idx="32">
                  <c:v>85.7</c:v>
                </c:pt>
                <c:pt idx="33">
                  <c:v>77.5</c:v>
                </c:pt>
                <c:pt idx="34">
                  <c:v>86.8</c:v>
                </c:pt>
                <c:pt idx="35">
                  <c:v>67.3</c:v>
                </c:pt>
                <c:pt idx="36">
                  <c:v>83.7</c:v>
                </c:pt>
                <c:pt idx="37">
                  <c:v>90.3</c:v>
                </c:pt>
                <c:pt idx="38">
                  <c:v>68.2</c:v>
                </c:pt>
                <c:pt idx="39">
                  <c:v>60.6</c:v>
                </c:pt>
                <c:pt idx="40">
                  <c:v>66.099999999999994</c:v>
                </c:pt>
                <c:pt idx="41">
                  <c:v>78.2</c:v>
                </c:pt>
                <c:pt idx="42">
                  <c:v>72</c:v>
                </c:pt>
                <c:pt idx="43">
                  <c:v>72.7</c:v>
                </c:pt>
                <c:pt idx="44">
                  <c:v>97.5</c:v>
                </c:pt>
                <c:pt idx="45">
                  <c:v>86</c:v>
                </c:pt>
                <c:pt idx="46">
                  <c:v>75</c:v>
                </c:pt>
                <c:pt idx="47">
                  <c:v>64.2</c:v>
                </c:pt>
                <c:pt idx="48">
                  <c:v>83.7</c:v>
                </c:pt>
                <c:pt idx="49">
                  <c:v>87.5</c:v>
                </c:pt>
                <c:pt idx="50">
                  <c:v>80.2</c:v>
                </c:pt>
                <c:pt idx="51">
                  <c:v>81.400000000000006</c:v>
                </c:pt>
                <c:pt idx="52">
                  <c:v>61.5</c:v>
                </c:pt>
                <c:pt idx="53">
                  <c:v>75.900000000000006</c:v>
                </c:pt>
                <c:pt idx="54">
                  <c:v>84.7</c:v>
                </c:pt>
                <c:pt idx="55">
                  <c:v>71.2</c:v>
                </c:pt>
                <c:pt idx="56">
                  <c:v>77.3</c:v>
                </c:pt>
                <c:pt idx="57">
                  <c:v>55.9</c:v>
                </c:pt>
                <c:pt idx="58">
                  <c:v>67.8</c:v>
                </c:pt>
                <c:pt idx="59">
                  <c:v>75.2</c:v>
                </c:pt>
                <c:pt idx="60">
                  <c:v>72.900000000000006</c:v>
                </c:pt>
                <c:pt idx="61">
                  <c:v>90.3</c:v>
                </c:pt>
                <c:pt idx="62">
                  <c:v>80.7</c:v>
                </c:pt>
                <c:pt idx="63">
                  <c:v>72.400000000000006</c:v>
                </c:pt>
                <c:pt idx="64">
                  <c:v>79.599999999999994</c:v>
                </c:pt>
                <c:pt idx="65">
                  <c:v>72.599999999999994</c:v>
                </c:pt>
                <c:pt idx="66">
                  <c:v>94.3</c:v>
                </c:pt>
                <c:pt idx="67">
                  <c:v>67.2</c:v>
                </c:pt>
                <c:pt idx="68">
                  <c:v>79.2</c:v>
                </c:pt>
                <c:pt idx="69">
                  <c:v>82.9</c:v>
                </c:pt>
                <c:pt idx="70">
                  <c:v>84.9</c:v>
                </c:pt>
                <c:pt idx="71">
                  <c:v>53.3</c:v>
                </c:pt>
                <c:pt idx="72">
                  <c:v>74.3</c:v>
                </c:pt>
                <c:pt idx="73">
                  <c:v>80.7</c:v>
                </c:pt>
                <c:pt idx="74">
                  <c:v>74.099999999999994</c:v>
                </c:pt>
                <c:pt idx="75">
                  <c:v>64.3</c:v>
                </c:pt>
                <c:pt idx="76">
                  <c:v>85.2</c:v>
                </c:pt>
                <c:pt idx="77">
                  <c:v>80</c:v>
                </c:pt>
                <c:pt idx="78">
                  <c:v>77.099999999999994</c:v>
                </c:pt>
                <c:pt idx="79">
                  <c:v>66.7</c:v>
                </c:pt>
                <c:pt idx="80">
                  <c:v>82.6</c:v>
                </c:pt>
                <c:pt idx="81">
                  <c:v>82.9</c:v>
                </c:pt>
                <c:pt idx="82">
                  <c:v>73.3</c:v>
                </c:pt>
                <c:pt idx="83">
                  <c:v>81.2</c:v>
                </c:pt>
                <c:pt idx="84">
                  <c:v>76.7</c:v>
                </c:pt>
                <c:pt idx="85">
                  <c:v>55.3</c:v>
                </c:pt>
                <c:pt idx="86">
                  <c:v>60.8</c:v>
                </c:pt>
                <c:pt idx="87">
                  <c:v>79.400000000000006</c:v>
                </c:pt>
                <c:pt idx="88">
                  <c:v>80.400000000000006</c:v>
                </c:pt>
                <c:pt idx="89">
                  <c:v>66.8</c:v>
                </c:pt>
                <c:pt idx="90">
                  <c:v>72.2</c:v>
                </c:pt>
                <c:pt idx="91">
                  <c:v>52.8</c:v>
                </c:pt>
                <c:pt idx="92">
                  <c:v>69.7</c:v>
                </c:pt>
                <c:pt idx="93">
                  <c:v>75</c:v>
                </c:pt>
                <c:pt idx="94">
                  <c:v>79</c:v>
                </c:pt>
                <c:pt idx="95">
                  <c:v>67</c:v>
                </c:pt>
                <c:pt idx="96">
                  <c:v>74.8</c:v>
                </c:pt>
                <c:pt idx="97">
                  <c:v>63.3</c:v>
                </c:pt>
                <c:pt idx="98">
                  <c:v>71.400000000000006</c:v>
                </c:pt>
                <c:pt idx="99">
                  <c:v>80.599999999999994</c:v>
                </c:pt>
                <c:pt idx="100">
                  <c:v>79.8</c:v>
                </c:pt>
                <c:pt idx="101">
                  <c:v>67.3</c:v>
                </c:pt>
                <c:pt idx="102">
                  <c:v>75.2</c:v>
                </c:pt>
                <c:pt idx="103">
                  <c:v>82.1</c:v>
                </c:pt>
                <c:pt idx="104">
                  <c:v>70.599999999999994</c:v>
                </c:pt>
                <c:pt idx="105">
                  <c:v>97.1</c:v>
                </c:pt>
                <c:pt idx="106">
                  <c:v>71.599999999999994</c:v>
                </c:pt>
                <c:pt idx="107">
                  <c:v>74.8</c:v>
                </c:pt>
                <c:pt idx="108">
                  <c:v>70.5</c:v>
                </c:pt>
                <c:pt idx="109">
                  <c:v>67.2</c:v>
                </c:pt>
                <c:pt idx="110">
                  <c:v>64.7</c:v>
                </c:pt>
                <c:pt idx="111">
                  <c:v>73.099999999999994</c:v>
                </c:pt>
                <c:pt idx="112">
                  <c:v>83.5</c:v>
                </c:pt>
                <c:pt idx="113">
                  <c:v>89.9</c:v>
                </c:pt>
                <c:pt idx="114">
                  <c:v>76.400000000000006</c:v>
                </c:pt>
                <c:pt idx="115">
                  <c:v>90.7</c:v>
                </c:pt>
                <c:pt idx="116">
                  <c:v>76.900000000000006</c:v>
                </c:pt>
                <c:pt idx="117">
                  <c:v>90.7</c:v>
                </c:pt>
                <c:pt idx="118">
                  <c:v>75.7</c:v>
                </c:pt>
                <c:pt idx="119">
                  <c:v>83.3</c:v>
                </c:pt>
                <c:pt idx="120">
                  <c:v>77.7</c:v>
                </c:pt>
                <c:pt idx="121">
                  <c:v>73.7</c:v>
                </c:pt>
                <c:pt idx="122">
                  <c:v>79</c:v>
                </c:pt>
                <c:pt idx="123">
                  <c:v>88</c:v>
                </c:pt>
                <c:pt idx="124">
                  <c:v>70.400000000000006</c:v>
                </c:pt>
                <c:pt idx="125">
                  <c:v>86.1</c:v>
                </c:pt>
                <c:pt idx="126">
                  <c:v>69.099999999999994</c:v>
                </c:pt>
                <c:pt idx="127">
                  <c:v>85.1</c:v>
                </c:pt>
                <c:pt idx="128">
                  <c:v>78.099999999999994</c:v>
                </c:pt>
                <c:pt idx="129">
                  <c:v>89.1</c:v>
                </c:pt>
                <c:pt idx="130">
                  <c:v>70</c:v>
                </c:pt>
                <c:pt idx="131">
                  <c:v>57.4</c:v>
                </c:pt>
                <c:pt idx="132">
                  <c:v>78.7</c:v>
                </c:pt>
                <c:pt idx="133">
                  <c:v>65.099999999999994</c:v>
                </c:pt>
                <c:pt idx="134">
                  <c:v>90.9</c:v>
                </c:pt>
                <c:pt idx="135">
                  <c:v>60.8</c:v>
                </c:pt>
                <c:pt idx="136">
                  <c:v>75.3</c:v>
                </c:pt>
                <c:pt idx="137">
                  <c:v>94.6</c:v>
                </c:pt>
                <c:pt idx="138">
                  <c:v>60</c:v>
                </c:pt>
                <c:pt idx="139">
                  <c:v>42</c:v>
                </c:pt>
                <c:pt idx="140">
                  <c:v>77.8</c:v>
                </c:pt>
                <c:pt idx="141">
                  <c:v>73.2</c:v>
                </c:pt>
                <c:pt idx="142">
                  <c:v>86.9</c:v>
                </c:pt>
                <c:pt idx="143">
                  <c:v>76.5</c:v>
                </c:pt>
                <c:pt idx="144">
                  <c:v>81.8</c:v>
                </c:pt>
                <c:pt idx="145">
                  <c:v>66.8</c:v>
                </c:pt>
                <c:pt idx="146">
                  <c:v>70.3</c:v>
                </c:pt>
                <c:pt idx="147">
                  <c:v>84.6</c:v>
                </c:pt>
                <c:pt idx="148">
                  <c:v>72.900000000000006</c:v>
                </c:pt>
                <c:pt idx="149">
                  <c:v>89.3</c:v>
                </c:pt>
                <c:pt idx="150">
                  <c:v>89.8</c:v>
                </c:pt>
                <c:pt idx="151">
                  <c:v>88.3</c:v>
                </c:pt>
                <c:pt idx="152">
                  <c:v>93.4</c:v>
                </c:pt>
                <c:pt idx="153">
                  <c:v>84.7</c:v>
                </c:pt>
                <c:pt idx="154">
                  <c:v>70.099999999999994</c:v>
                </c:pt>
                <c:pt idx="155">
                  <c:v>88.5</c:v>
                </c:pt>
                <c:pt idx="156">
                  <c:v>73.2</c:v>
                </c:pt>
                <c:pt idx="157">
                  <c:v>88.1</c:v>
                </c:pt>
                <c:pt idx="158">
                  <c:v>87.2</c:v>
                </c:pt>
                <c:pt idx="159">
                  <c:v>84.6</c:v>
                </c:pt>
                <c:pt idx="160">
                  <c:v>76.3</c:v>
                </c:pt>
                <c:pt idx="161">
                  <c:v>68.900000000000006</c:v>
                </c:pt>
                <c:pt idx="162">
                  <c:v>68.7</c:v>
                </c:pt>
                <c:pt idx="163">
                  <c:v>82.9</c:v>
                </c:pt>
                <c:pt idx="164">
                  <c:v>75.7</c:v>
                </c:pt>
                <c:pt idx="165">
                  <c:v>87.7</c:v>
                </c:pt>
                <c:pt idx="166">
                  <c:v>73.2</c:v>
                </c:pt>
                <c:pt idx="167">
                  <c:v>58.2</c:v>
                </c:pt>
                <c:pt idx="168">
                  <c:v>78.3</c:v>
                </c:pt>
                <c:pt idx="169">
                  <c:v>85.9</c:v>
                </c:pt>
                <c:pt idx="170">
                  <c:v>77.099999999999994</c:v>
                </c:pt>
                <c:pt idx="171">
                  <c:v>68.8</c:v>
                </c:pt>
                <c:pt idx="172">
                  <c:v>80.8</c:v>
                </c:pt>
                <c:pt idx="173">
                  <c:v>76.599999999999994</c:v>
                </c:pt>
                <c:pt idx="174">
                  <c:v>74.2</c:v>
                </c:pt>
                <c:pt idx="175">
                  <c:v>73.7</c:v>
                </c:pt>
                <c:pt idx="176">
                  <c:v>74.8</c:v>
                </c:pt>
                <c:pt idx="177">
                  <c:v>88.2</c:v>
                </c:pt>
                <c:pt idx="178">
                  <c:v>70.099999999999994</c:v>
                </c:pt>
                <c:pt idx="179">
                  <c:v>65.5</c:v>
                </c:pt>
                <c:pt idx="180">
                  <c:v>88.1</c:v>
                </c:pt>
                <c:pt idx="181">
                  <c:v>67.3</c:v>
                </c:pt>
                <c:pt idx="182">
                  <c:v>87.5</c:v>
                </c:pt>
                <c:pt idx="183">
                  <c:v>86</c:v>
                </c:pt>
                <c:pt idx="184">
                  <c:v>81.2</c:v>
                </c:pt>
                <c:pt idx="185">
                  <c:v>91.3</c:v>
                </c:pt>
                <c:pt idx="186">
                  <c:v>70.599999999999994</c:v>
                </c:pt>
                <c:pt idx="187">
                  <c:v>91.9</c:v>
                </c:pt>
                <c:pt idx="188">
                  <c:v>83.5</c:v>
                </c:pt>
                <c:pt idx="189">
                  <c:v>79.5</c:v>
                </c:pt>
                <c:pt idx="190">
                  <c:v>88.4</c:v>
                </c:pt>
                <c:pt idx="191">
                  <c:v>71.5</c:v>
                </c:pt>
                <c:pt idx="192">
                  <c:v>68.3</c:v>
                </c:pt>
                <c:pt idx="193">
                  <c:v>67.400000000000006</c:v>
                </c:pt>
                <c:pt idx="194">
                  <c:v>79.2</c:v>
                </c:pt>
                <c:pt idx="195">
                  <c:v>73.599999999999994</c:v>
                </c:pt>
                <c:pt idx="196">
                  <c:v>67.2</c:v>
                </c:pt>
                <c:pt idx="197">
                  <c:v>67</c:v>
                </c:pt>
                <c:pt idx="198">
                  <c:v>79.2</c:v>
                </c:pt>
                <c:pt idx="199">
                  <c:v>67.5</c:v>
                </c:pt>
                <c:pt idx="200">
                  <c:v>75.099999999999994</c:v>
                </c:pt>
                <c:pt idx="201">
                  <c:v>80.5</c:v>
                </c:pt>
                <c:pt idx="202">
                  <c:v>81</c:v>
                </c:pt>
                <c:pt idx="203">
                  <c:v>64.8</c:v>
                </c:pt>
                <c:pt idx="204">
                  <c:v>62.4</c:v>
                </c:pt>
                <c:pt idx="205">
                  <c:v>86.3</c:v>
                </c:pt>
                <c:pt idx="206">
                  <c:v>88.6</c:v>
                </c:pt>
                <c:pt idx="207">
                  <c:v>76.2</c:v>
                </c:pt>
                <c:pt idx="208">
                  <c:v>73.599999999999994</c:v>
                </c:pt>
                <c:pt idx="209">
                  <c:v>71</c:v>
                </c:pt>
                <c:pt idx="210">
                  <c:v>88.3</c:v>
                </c:pt>
                <c:pt idx="211">
                  <c:v>61</c:v>
                </c:pt>
                <c:pt idx="212">
                  <c:v>84.8</c:v>
                </c:pt>
                <c:pt idx="213">
                  <c:v>86.7</c:v>
                </c:pt>
                <c:pt idx="214">
                  <c:v>61.3</c:v>
                </c:pt>
                <c:pt idx="215">
                  <c:v>88.5</c:v>
                </c:pt>
                <c:pt idx="216">
                  <c:v>87.5</c:v>
                </c:pt>
                <c:pt idx="217">
                  <c:v>78.400000000000006</c:v>
                </c:pt>
                <c:pt idx="218">
                  <c:v>79.400000000000006</c:v>
                </c:pt>
                <c:pt idx="219">
                  <c:v>90.7</c:v>
                </c:pt>
                <c:pt idx="220">
                  <c:v>68.7</c:v>
                </c:pt>
                <c:pt idx="221">
                  <c:v>91.1</c:v>
                </c:pt>
                <c:pt idx="222">
                  <c:v>60.1</c:v>
                </c:pt>
                <c:pt idx="223">
                  <c:v>75.400000000000006</c:v>
                </c:pt>
                <c:pt idx="224">
                  <c:v>93.4</c:v>
                </c:pt>
                <c:pt idx="225">
                  <c:v>83.2</c:v>
                </c:pt>
                <c:pt idx="226">
                  <c:v>87.1</c:v>
                </c:pt>
                <c:pt idx="227">
                  <c:v>84.4</c:v>
                </c:pt>
                <c:pt idx="228">
                  <c:v>81.8</c:v>
                </c:pt>
                <c:pt idx="229">
                  <c:v>78.8</c:v>
                </c:pt>
                <c:pt idx="230">
                  <c:v>76.8</c:v>
                </c:pt>
                <c:pt idx="231">
                  <c:v>91.1</c:v>
                </c:pt>
                <c:pt idx="232">
                  <c:v>64.599999999999994</c:v>
                </c:pt>
                <c:pt idx="233">
                  <c:v>76.599999999999994</c:v>
                </c:pt>
                <c:pt idx="234">
                  <c:v>78.900000000000006</c:v>
                </c:pt>
                <c:pt idx="235">
                  <c:v>68.2</c:v>
                </c:pt>
                <c:pt idx="236">
                  <c:v>80.599999999999994</c:v>
                </c:pt>
                <c:pt idx="237">
                  <c:v>77</c:v>
                </c:pt>
                <c:pt idx="238">
                  <c:v>82</c:v>
                </c:pt>
                <c:pt idx="239">
                  <c:v>84.1</c:v>
                </c:pt>
                <c:pt idx="240">
                  <c:v>85.9</c:v>
                </c:pt>
                <c:pt idx="241">
                  <c:v>60</c:v>
                </c:pt>
                <c:pt idx="242">
                  <c:v>52.8</c:v>
                </c:pt>
                <c:pt idx="243">
                  <c:v>84.8</c:v>
                </c:pt>
                <c:pt idx="244">
                  <c:v>86.5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A5-4C5F-B012-E5C058F1F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5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Attendance %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Final Exam Score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Study Hours vs Overall Score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87205387205387"/>
          <c:y val="0.12348255813953489"/>
          <c:w val="0.85235538720538717"/>
          <c:h val="0.70401873385012925"/>
        </c:manualLayout>
      </c:layout>
      <c:scatterChart>
        <c:scatterStyle val="lineMarker"/>
        <c:varyColors val="1"/>
        <c:ser>
          <c:idx val="0"/>
          <c:order val="0"/>
          <c:tx>
            <c:v>Students</c:v>
          </c:tx>
          <c:spPr>
            <a:ln w="25400">
              <a:noFill/>
            </a:ln>
          </c:spPr>
          <c:marker>
            <c:symbol val="circle"/>
            <c:size val="6"/>
          </c:marker>
          <c:dPt>
            <c:idx val="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3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90-4996-B7D6-F9D0F2C8E92A}"/>
              </c:ext>
            </c:extLst>
          </c:dPt>
          <c:dPt>
            <c:idx val="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3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890-4996-B7D6-F9D0F2C8E92A}"/>
              </c:ext>
            </c:extLst>
          </c:dPt>
          <c:dPt>
            <c:idx val="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3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890-4996-B7D6-F9D0F2C8E92A}"/>
              </c:ext>
            </c:extLst>
          </c:dPt>
          <c:dPt>
            <c:idx val="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3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890-4996-B7D6-F9D0F2C8E92A}"/>
              </c:ext>
            </c:extLst>
          </c:dPt>
          <c:dPt>
            <c:idx val="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3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890-4996-B7D6-F9D0F2C8E92A}"/>
              </c:ext>
            </c:extLst>
          </c:dPt>
          <c:dPt>
            <c:idx val="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3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890-4996-B7D6-F9D0F2C8E92A}"/>
              </c:ext>
            </c:extLst>
          </c:dPt>
          <c:dPt>
            <c:idx val="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3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890-4996-B7D6-F9D0F2C8E92A}"/>
              </c:ext>
            </c:extLst>
          </c:dPt>
          <c:dPt>
            <c:idx val="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3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890-4996-B7D6-F9D0F2C8E92A}"/>
              </c:ext>
            </c:extLst>
          </c:dPt>
          <c:dPt>
            <c:idx val="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3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8890-4996-B7D6-F9D0F2C8E92A}"/>
              </c:ext>
            </c:extLst>
          </c:dPt>
          <c:dPt>
            <c:idx val="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3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8890-4996-B7D6-F9D0F2C8E92A}"/>
              </c:ext>
            </c:extLst>
          </c:dPt>
          <c:dPt>
            <c:idx val="1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3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8890-4996-B7D6-F9D0F2C8E92A}"/>
              </c:ext>
            </c:extLst>
          </c:dPt>
          <c:dPt>
            <c:idx val="1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3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8890-4996-B7D6-F9D0F2C8E92A}"/>
              </c:ext>
            </c:extLst>
          </c:dPt>
          <c:dPt>
            <c:idx val="1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3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8890-4996-B7D6-F9D0F2C8E92A}"/>
              </c:ext>
            </c:extLst>
          </c:dPt>
          <c:dPt>
            <c:idx val="1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3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8890-4996-B7D6-F9D0F2C8E92A}"/>
              </c:ext>
            </c:extLst>
          </c:dPt>
          <c:dPt>
            <c:idx val="1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3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8890-4996-B7D6-F9D0F2C8E92A}"/>
              </c:ext>
            </c:extLst>
          </c:dPt>
          <c:dPt>
            <c:idx val="1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3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8890-4996-B7D6-F9D0F2C8E92A}"/>
              </c:ext>
            </c:extLst>
          </c:dPt>
          <c:dPt>
            <c:idx val="1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3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8890-4996-B7D6-F9D0F2C8E92A}"/>
              </c:ext>
            </c:extLst>
          </c:dPt>
          <c:dPt>
            <c:idx val="1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4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8890-4996-B7D6-F9D0F2C8E92A}"/>
              </c:ext>
            </c:extLst>
          </c:dPt>
          <c:dPt>
            <c:idx val="1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4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8890-4996-B7D6-F9D0F2C8E92A}"/>
              </c:ext>
            </c:extLst>
          </c:dPt>
          <c:dPt>
            <c:idx val="1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4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8890-4996-B7D6-F9D0F2C8E92A}"/>
              </c:ext>
            </c:extLst>
          </c:dPt>
          <c:dPt>
            <c:idx val="2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4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8890-4996-B7D6-F9D0F2C8E92A}"/>
              </c:ext>
            </c:extLst>
          </c:dPt>
          <c:dPt>
            <c:idx val="2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4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8890-4996-B7D6-F9D0F2C8E92A}"/>
              </c:ext>
            </c:extLst>
          </c:dPt>
          <c:dPt>
            <c:idx val="2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4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8890-4996-B7D6-F9D0F2C8E92A}"/>
              </c:ext>
            </c:extLst>
          </c:dPt>
          <c:dPt>
            <c:idx val="2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4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8890-4996-B7D6-F9D0F2C8E92A}"/>
              </c:ext>
            </c:extLst>
          </c:dPt>
          <c:dPt>
            <c:idx val="2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4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8890-4996-B7D6-F9D0F2C8E92A}"/>
              </c:ext>
            </c:extLst>
          </c:dPt>
          <c:dPt>
            <c:idx val="2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4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8890-4996-B7D6-F9D0F2C8E92A}"/>
              </c:ext>
            </c:extLst>
          </c:dPt>
          <c:dPt>
            <c:idx val="2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4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8890-4996-B7D6-F9D0F2C8E92A}"/>
              </c:ext>
            </c:extLst>
          </c:dPt>
          <c:dPt>
            <c:idx val="2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4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8890-4996-B7D6-F9D0F2C8E92A}"/>
              </c:ext>
            </c:extLst>
          </c:dPt>
          <c:dPt>
            <c:idx val="2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4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8890-4996-B7D6-F9D0F2C8E92A}"/>
              </c:ext>
            </c:extLst>
          </c:dPt>
          <c:dPt>
            <c:idx val="2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4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8890-4996-B7D6-F9D0F2C8E92A}"/>
              </c:ext>
            </c:extLst>
          </c:dPt>
          <c:dPt>
            <c:idx val="3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4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D-8890-4996-B7D6-F9D0F2C8E92A}"/>
              </c:ext>
            </c:extLst>
          </c:dPt>
          <c:dPt>
            <c:idx val="3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4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F-8890-4996-B7D6-F9D0F2C8E92A}"/>
              </c:ext>
            </c:extLst>
          </c:dPt>
          <c:dPt>
            <c:idx val="3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4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8890-4996-B7D6-F9D0F2C8E92A}"/>
              </c:ext>
            </c:extLst>
          </c:dPt>
          <c:dPt>
            <c:idx val="3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4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3-8890-4996-B7D6-F9D0F2C8E92A}"/>
              </c:ext>
            </c:extLst>
          </c:dPt>
          <c:dPt>
            <c:idx val="3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4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5-8890-4996-B7D6-F9D0F2C8E92A}"/>
              </c:ext>
            </c:extLst>
          </c:dPt>
          <c:dPt>
            <c:idx val="3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5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7-8890-4996-B7D6-F9D0F2C8E92A}"/>
              </c:ext>
            </c:extLst>
          </c:dPt>
          <c:dPt>
            <c:idx val="3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5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9-8890-4996-B7D6-F9D0F2C8E92A}"/>
              </c:ext>
            </c:extLst>
          </c:dPt>
          <c:dPt>
            <c:idx val="3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5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B-8890-4996-B7D6-F9D0F2C8E92A}"/>
              </c:ext>
            </c:extLst>
          </c:dPt>
          <c:dPt>
            <c:idx val="3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5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D-8890-4996-B7D6-F9D0F2C8E92A}"/>
              </c:ext>
            </c:extLst>
          </c:dPt>
          <c:dPt>
            <c:idx val="3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5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F-8890-4996-B7D6-F9D0F2C8E92A}"/>
              </c:ext>
            </c:extLst>
          </c:dPt>
          <c:dPt>
            <c:idx val="4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5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1-8890-4996-B7D6-F9D0F2C8E92A}"/>
              </c:ext>
            </c:extLst>
          </c:dPt>
          <c:dPt>
            <c:idx val="4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5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3-8890-4996-B7D6-F9D0F2C8E92A}"/>
              </c:ext>
            </c:extLst>
          </c:dPt>
          <c:dPt>
            <c:idx val="4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5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5-8890-4996-B7D6-F9D0F2C8E92A}"/>
              </c:ext>
            </c:extLst>
          </c:dPt>
          <c:dPt>
            <c:idx val="4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5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7-8890-4996-B7D6-F9D0F2C8E92A}"/>
              </c:ext>
            </c:extLst>
          </c:dPt>
          <c:dPt>
            <c:idx val="4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5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9-8890-4996-B7D6-F9D0F2C8E92A}"/>
              </c:ext>
            </c:extLst>
          </c:dPt>
          <c:dPt>
            <c:idx val="4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5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B-8890-4996-B7D6-F9D0F2C8E92A}"/>
              </c:ext>
            </c:extLst>
          </c:dPt>
          <c:dPt>
            <c:idx val="4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5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D-8890-4996-B7D6-F9D0F2C8E92A}"/>
              </c:ext>
            </c:extLst>
          </c:dPt>
          <c:dPt>
            <c:idx val="4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5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F-8890-4996-B7D6-F9D0F2C8E92A}"/>
              </c:ext>
            </c:extLst>
          </c:dPt>
          <c:dPt>
            <c:idx val="4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5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1-8890-4996-B7D6-F9D0F2C8E92A}"/>
              </c:ext>
            </c:extLst>
          </c:dPt>
          <c:dPt>
            <c:idx val="4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5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3-8890-4996-B7D6-F9D0F2C8E92A}"/>
              </c:ext>
            </c:extLst>
          </c:dPt>
          <c:dPt>
            <c:idx val="5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5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5-8890-4996-B7D6-F9D0F2C8E92A}"/>
              </c:ext>
            </c:extLst>
          </c:dPt>
          <c:dPt>
            <c:idx val="5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5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7-8890-4996-B7D6-F9D0F2C8E92A}"/>
              </c:ext>
            </c:extLst>
          </c:dPt>
          <c:dPt>
            <c:idx val="5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6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9-8890-4996-B7D6-F9D0F2C8E92A}"/>
              </c:ext>
            </c:extLst>
          </c:dPt>
          <c:dPt>
            <c:idx val="5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6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B-8890-4996-B7D6-F9D0F2C8E92A}"/>
              </c:ext>
            </c:extLst>
          </c:dPt>
          <c:dPt>
            <c:idx val="5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6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D-8890-4996-B7D6-F9D0F2C8E92A}"/>
              </c:ext>
            </c:extLst>
          </c:dPt>
          <c:dPt>
            <c:idx val="5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6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F-8890-4996-B7D6-F9D0F2C8E92A}"/>
              </c:ext>
            </c:extLst>
          </c:dPt>
          <c:dPt>
            <c:idx val="5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6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1-8890-4996-B7D6-F9D0F2C8E92A}"/>
              </c:ext>
            </c:extLst>
          </c:dPt>
          <c:dPt>
            <c:idx val="5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6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3-8890-4996-B7D6-F9D0F2C8E92A}"/>
              </c:ext>
            </c:extLst>
          </c:dPt>
          <c:dPt>
            <c:idx val="5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6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5-8890-4996-B7D6-F9D0F2C8E92A}"/>
              </c:ext>
            </c:extLst>
          </c:dPt>
          <c:dPt>
            <c:idx val="5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6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7-8890-4996-B7D6-F9D0F2C8E92A}"/>
              </c:ext>
            </c:extLst>
          </c:dPt>
          <c:dPt>
            <c:idx val="6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6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9-8890-4996-B7D6-F9D0F2C8E92A}"/>
              </c:ext>
            </c:extLst>
          </c:dPt>
          <c:dPt>
            <c:idx val="6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6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B-8890-4996-B7D6-F9D0F2C8E92A}"/>
              </c:ext>
            </c:extLst>
          </c:dPt>
          <c:dPt>
            <c:idx val="6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6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D-8890-4996-B7D6-F9D0F2C8E92A}"/>
              </c:ext>
            </c:extLst>
          </c:dPt>
          <c:dPt>
            <c:idx val="6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6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F-8890-4996-B7D6-F9D0F2C8E92A}"/>
              </c:ext>
            </c:extLst>
          </c:dPt>
          <c:dPt>
            <c:idx val="6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6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1-8890-4996-B7D6-F9D0F2C8E92A}"/>
              </c:ext>
            </c:extLst>
          </c:dPt>
          <c:dPt>
            <c:idx val="6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6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3-8890-4996-B7D6-F9D0F2C8E92A}"/>
              </c:ext>
            </c:extLst>
          </c:dPt>
          <c:dPt>
            <c:idx val="6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6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5-8890-4996-B7D6-F9D0F2C8E92A}"/>
              </c:ext>
            </c:extLst>
          </c:dPt>
          <c:dPt>
            <c:idx val="6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6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7-8890-4996-B7D6-F9D0F2C8E92A}"/>
              </c:ext>
            </c:extLst>
          </c:dPt>
          <c:dPt>
            <c:idx val="6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6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9-8890-4996-B7D6-F9D0F2C8E92A}"/>
              </c:ext>
            </c:extLst>
          </c:dPt>
          <c:dPt>
            <c:idx val="6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6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B-8890-4996-B7D6-F9D0F2C8E92A}"/>
              </c:ext>
            </c:extLst>
          </c:dPt>
          <c:dPt>
            <c:idx val="7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7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D-8890-4996-B7D6-F9D0F2C8E92A}"/>
              </c:ext>
            </c:extLst>
          </c:dPt>
          <c:dPt>
            <c:idx val="7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7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F-8890-4996-B7D6-F9D0F2C8E92A}"/>
              </c:ext>
            </c:extLst>
          </c:dPt>
          <c:dPt>
            <c:idx val="7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7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1-8890-4996-B7D6-F9D0F2C8E92A}"/>
              </c:ext>
            </c:extLst>
          </c:dPt>
          <c:dPt>
            <c:idx val="7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7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3-8890-4996-B7D6-F9D0F2C8E92A}"/>
              </c:ext>
            </c:extLst>
          </c:dPt>
          <c:dPt>
            <c:idx val="7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7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5-8890-4996-B7D6-F9D0F2C8E92A}"/>
              </c:ext>
            </c:extLst>
          </c:dPt>
          <c:dPt>
            <c:idx val="7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7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7-8890-4996-B7D6-F9D0F2C8E92A}"/>
              </c:ext>
            </c:extLst>
          </c:dPt>
          <c:dPt>
            <c:idx val="7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7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9-8890-4996-B7D6-F9D0F2C8E92A}"/>
              </c:ext>
            </c:extLst>
          </c:dPt>
          <c:dPt>
            <c:idx val="7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7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B-8890-4996-B7D6-F9D0F2C8E92A}"/>
              </c:ext>
            </c:extLst>
          </c:dPt>
          <c:dPt>
            <c:idx val="7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7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D-8890-4996-B7D6-F9D0F2C8E92A}"/>
              </c:ext>
            </c:extLst>
          </c:dPt>
          <c:dPt>
            <c:idx val="7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7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F-8890-4996-B7D6-F9D0F2C8E92A}"/>
              </c:ext>
            </c:extLst>
          </c:dPt>
          <c:dPt>
            <c:idx val="8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7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1-8890-4996-B7D6-F9D0F2C8E92A}"/>
              </c:ext>
            </c:extLst>
          </c:dPt>
          <c:dPt>
            <c:idx val="8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7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3-8890-4996-B7D6-F9D0F2C8E92A}"/>
              </c:ext>
            </c:extLst>
          </c:dPt>
          <c:dPt>
            <c:idx val="8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7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5-8890-4996-B7D6-F9D0F2C8E92A}"/>
              </c:ext>
            </c:extLst>
          </c:dPt>
          <c:dPt>
            <c:idx val="8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7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7-8890-4996-B7D6-F9D0F2C8E92A}"/>
              </c:ext>
            </c:extLst>
          </c:dPt>
          <c:dPt>
            <c:idx val="8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7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9-8890-4996-B7D6-F9D0F2C8E92A}"/>
              </c:ext>
            </c:extLst>
          </c:dPt>
          <c:dPt>
            <c:idx val="8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7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B-8890-4996-B7D6-F9D0F2C8E92A}"/>
              </c:ext>
            </c:extLst>
          </c:dPt>
          <c:dPt>
            <c:idx val="8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7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D-8890-4996-B7D6-F9D0F2C8E92A}"/>
              </c:ext>
            </c:extLst>
          </c:dPt>
          <c:dPt>
            <c:idx val="8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8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F-8890-4996-B7D6-F9D0F2C8E92A}"/>
              </c:ext>
            </c:extLst>
          </c:dPt>
          <c:dPt>
            <c:idx val="8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8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1-8890-4996-B7D6-F9D0F2C8E92A}"/>
              </c:ext>
            </c:extLst>
          </c:dPt>
          <c:dPt>
            <c:idx val="8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8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3-8890-4996-B7D6-F9D0F2C8E92A}"/>
              </c:ext>
            </c:extLst>
          </c:dPt>
          <c:dPt>
            <c:idx val="9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8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5-8890-4996-B7D6-F9D0F2C8E92A}"/>
              </c:ext>
            </c:extLst>
          </c:dPt>
          <c:dPt>
            <c:idx val="9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8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7-8890-4996-B7D6-F9D0F2C8E92A}"/>
              </c:ext>
            </c:extLst>
          </c:dPt>
          <c:dPt>
            <c:idx val="9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8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9-8890-4996-B7D6-F9D0F2C8E92A}"/>
              </c:ext>
            </c:extLst>
          </c:dPt>
          <c:dPt>
            <c:idx val="9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8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B-8890-4996-B7D6-F9D0F2C8E92A}"/>
              </c:ext>
            </c:extLst>
          </c:dPt>
          <c:dPt>
            <c:idx val="9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8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D-8890-4996-B7D6-F9D0F2C8E92A}"/>
              </c:ext>
            </c:extLst>
          </c:dPt>
          <c:dPt>
            <c:idx val="9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8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F-8890-4996-B7D6-F9D0F2C8E92A}"/>
              </c:ext>
            </c:extLst>
          </c:dPt>
          <c:dPt>
            <c:idx val="9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8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1-8890-4996-B7D6-F9D0F2C8E92A}"/>
              </c:ext>
            </c:extLst>
          </c:dPt>
          <c:dPt>
            <c:idx val="9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8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3-8890-4996-B7D6-F9D0F2C8E92A}"/>
              </c:ext>
            </c:extLst>
          </c:dPt>
          <c:dPt>
            <c:idx val="9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8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5-8890-4996-B7D6-F9D0F2C8E92A}"/>
              </c:ext>
            </c:extLst>
          </c:dPt>
          <c:dPt>
            <c:idx val="9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8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7-8890-4996-B7D6-F9D0F2C8E92A}"/>
              </c:ext>
            </c:extLst>
          </c:dPt>
          <c:dPt>
            <c:idx val="10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8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9-8890-4996-B7D6-F9D0F2C8E92A}"/>
              </c:ext>
            </c:extLst>
          </c:dPt>
          <c:dPt>
            <c:idx val="10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8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B-8890-4996-B7D6-F9D0F2C8E92A}"/>
              </c:ext>
            </c:extLst>
          </c:dPt>
          <c:dPt>
            <c:idx val="10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8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D-8890-4996-B7D6-F9D0F2C8E92A}"/>
              </c:ext>
            </c:extLst>
          </c:dPt>
          <c:dPt>
            <c:idx val="10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8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F-8890-4996-B7D6-F9D0F2C8E92A}"/>
              </c:ext>
            </c:extLst>
          </c:dPt>
          <c:dPt>
            <c:idx val="10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8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1-8890-4996-B7D6-F9D0F2C8E92A}"/>
              </c:ext>
            </c:extLst>
          </c:dPt>
          <c:dPt>
            <c:idx val="10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9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3-8890-4996-B7D6-F9D0F2C8E92A}"/>
              </c:ext>
            </c:extLst>
          </c:dPt>
          <c:dPt>
            <c:idx val="10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9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5-8890-4996-B7D6-F9D0F2C8E92A}"/>
              </c:ext>
            </c:extLst>
          </c:dPt>
          <c:dPt>
            <c:idx val="10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9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7-8890-4996-B7D6-F9D0F2C8E92A}"/>
              </c:ext>
            </c:extLst>
          </c:dPt>
          <c:dPt>
            <c:idx val="10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9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9-8890-4996-B7D6-F9D0F2C8E92A}"/>
              </c:ext>
            </c:extLst>
          </c:dPt>
          <c:dPt>
            <c:idx val="10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9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B-8890-4996-B7D6-F9D0F2C8E92A}"/>
              </c:ext>
            </c:extLst>
          </c:dPt>
          <c:dPt>
            <c:idx val="11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9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D-8890-4996-B7D6-F9D0F2C8E92A}"/>
              </c:ext>
            </c:extLst>
          </c:dPt>
          <c:dPt>
            <c:idx val="11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9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F-8890-4996-B7D6-F9D0F2C8E92A}"/>
              </c:ext>
            </c:extLst>
          </c:dPt>
          <c:dPt>
            <c:idx val="11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9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1-8890-4996-B7D6-F9D0F2C8E92A}"/>
              </c:ext>
            </c:extLst>
          </c:dPt>
          <c:dPt>
            <c:idx val="11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9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3-8890-4996-B7D6-F9D0F2C8E92A}"/>
              </c:ext>
            </c:extLst>
          </c:dPt>
          <c:dPt>
            <c:idx val="11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9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5-8890-4996-B7D6-F9D0F2C8E92A}"/>
              </c:ext>
            </c:extLst>
          </c:dPt>
          <c:dPt>
            <c:idx val="11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9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7-8890-4996-B7D6-F9D0F2C8E92A}"/>
              </c:ext>
            </c:extLst>
          </c:dPt>
          <c:dPt>
            <c:idx val="11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9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9-8890-4996-B7D6-F9D0F2C8E92A}"/>
              </c:ext>
            </c:extLst>
          </c:dPt>
          <c:dPt>
            <c:idx val="11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9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B-8890-4996-B7D6-F9D0F2C8E92A}"/>
              </c:ext>
            </c:extLst>
          </c:dPt>
          <c:dPt>
            <c:idx val="11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9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D-8890-4996-B7D6-F9D0F2C8E92A}"/>
              </c:ext>
            </c:extLst>
          </c:dPt>
          <c:dPt>
            <c:idx val="11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9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F-8890-4996-B7D6-F9D0F2C8E92A}"/>
              </c:ext>
            </c:extLst>
          </c:dPt>
          <c:dPt>
            <c:idx val="12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9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1-8890-4996-B7D6-F9D0F2C8E92A}"/>
              </c:ext>
            </c:extLst>
          </c:dPt>
          <c:dPt>
            <c:idx val="12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shade val="9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3-8890-4996-B7D6-F9D0F2C8E92A}"/>
              </c:ext>
            </c:extLst>
          </c:dPt>
          <c:dPt>
            <c:idx val="12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5-8890-4996-B7D6-F9D0F2C8E92A}"/>
              </c:ext>
            </c:extLst>
          </c:dPt>
          <c:dPt>
            <c:idx val="12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7-8890-4996-B7D6-F9D0F2C8E92A}"/>
              </c:ext>
            </c:extLst>
          </c:dPt>
          <c:dPt>
            <c:idx val="12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9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9-8890-4996-B7D6-F9D0F2C8E92A}"/>
              </c:ext>
            </c:extLst>
          </c:dPt>
          <c:dPt>
            <c:idx val="12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9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B-8890-4996-B7D6-F9D0F2C8E92A}"/>
              </c:ext>
            </c:extLst>
          </c:dPt>
          <c:dPt>
            <c:idx val="12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9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D-8890-4996-B7D6-F9D0F2C8E92A}"/>
              </c:ext>
            </c:extLst>
          </c:dPt>
          <c:dPt>
            <c:idx val="12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9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F-8890-4996-B7D6-F9D0F2C8E92A}"/>
              </c:ext>
            </c:extLst>
          </c:dPt>
          <c:dPt>
            <c:idx val="12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9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1-8890-4996-B7D6-F9D0F2C8E92A}"/>
              </c:ext>
            </c:extLst>
          </c:dPt>
          <c:dPt>
            <c:idx val="12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9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3-8890-4996-B7D6-F9D0F2C8E92A}"/>
              </c:ext>
            </c:extLst>
          </c:dPt>
          <c:dPt>
            <c:idx val="13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9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5-8890-4996-B7D6-F9D0F2C8E92A}"/>
              </c:ext>
            </c:extLst>
          </c:dPt>
          <c:dPt>
            <c:idx val="13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9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7-8890-4996-B7D6-F9D0F2C8E92A}"/>
              </c:ext>
            </c:extLst>
          </c:dPt>
          <c:dPt>
            <c:idx val="13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9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9-8890-4996-B7D6-F9D0F2C8E92A}"/>
              </c:ext>
            </c:extLst>
          </c:dPt>
          <c:dPt>
            <c:idx val="13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9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B-8890-4996-B7D6-F9D0F2C8E92A}"/>
              </c:ext>
            </c:extLst>
          </c:dPt>
          <c:dPt>
            <c:idx val="13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9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D-8890-4996-B7D6-F9D0F2C8E92A}"/>
              </c:ext>
            </c:extLst>
          </c:dPt>
          <c:dPt>
            <c:idx val="13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9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F-8890-4996-B7D6-F9D0F2C8E92A}"/>
              </c:ext>
            </c:extLst>
          </c:dPt>
          <c:dPt>
            <c:idx val="13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9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1-8890-4996-B7D6-F9D0F2C8E92A}"/>
              </c:ext>
            </c:extLst>
          </c:dPt>
          <c:dPt>
            <c:idx val="13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9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3-8890-4996-B7D6-F9D0F2C8E92A}"/>
              </c:ext>
            </c:extLst>
          </c:dPt>
          <c:dPt>
            <c:idx val="13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9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5-8890-4996-B7D6-F9D0F2C8E92A}"/>
              </c:ext>
            </c:extLst>
          </c:dPt>
          <c:dPt>
            <c:idx val="13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9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7-8890-4996-B7D6-F9D0F2C8E92A}"/>
              </c:ext>
            </c:extLst>
          </c:dPt>
          <c:dPt>
            <c:idx val="14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9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9-8890-4996-B7D6-F9D0F2C8E92A}"/>
              </c:ext>
            </c:extLst>
          </c:dPt>
          <c:dPt>
            <c:idx val="14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9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B-8890-4996-B7D6-F9D0F2C8E92A}"/>
              </c:ext>
            </c:extLst>
          </c:dPt>
          <c:dPt>
            <c:idx val="14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8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D-8890-4996-B7D6-F9D0F2C8E92A}"/>
              </c:ext>
            </c:extLst>
          </c:dPt>
          <c:dPt>
            <c:idx val="14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8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F-8890-4996-B7D6-F9D0F2C8E92A}"/>
              </c:ext>
            </c:extLst>
          </c:dPt>
          <c:dPt>
            <c:idx val="14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8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1-8890-4996-B7D6-F9D0F2C8E92A}"/>
              </c:ext>
            </c:extLst>
          </c:dPt>
          <c:dPt>
            <c:idx val="14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8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3-8890-4996-B7D6-F9D0F2C8E92A}"/>
              </c:ext>
            </c:extLst>
          </c:dPt>
          <c:dPt>
            <c:idx val="14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8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5-8890-4996-B7D6-F9D0F2C8E92A}"/>
              </c:ext>
            </c:extLst>
          </c:dPt>
          <c:dPt>
            <c:idx val="14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8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7-8890-4996-B7D6-F9D0F2C8E92A}"/>
              </c:ext>
            </c:extLst>
          </c:dPt>
          <c:dPt>
            <c:idx val="14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8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9-8890-4996-B7D6-F9D0F2C8E92A}"/>
              </c:ext>
            </c:extLst>
          </c:dPt>
          <c:dPt>
            <c:idx val="14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8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B-8890-4996-B7D6-F9D0F2C8E92A}"/>
              </c:ext>
            </c:extLst>
          </c:dPt>
          <c:dPt>
            <c:idx val="15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8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D-8890-4996-B7D6-F9D0F2C8E92A}"/>
              </c:ext>
            </c:extLst>
          </c:dPt>
          <c:dPt>
            <c:idx val="15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8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F-8890-4996-B7D6-F9D0F2C8E92A}"/>
              </c:ext>
            </c:extLst>
          </c:dPt>
          <c:dPt>
            <c:idx val="15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8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1-8890-4996-B7D6-F9D0F2C8E92A}"/>
              </c:ext>
            </c:extLst>
          </c:dPt>
          <c:dPt>
            <c:idx val="15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8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3-8890-4996-B7D6-F9D0F2C8E92A}"/>
              </c:ext>
            </c:extLst>
          </c:dPt>
          <c:dPt>
            <c:idx val="15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8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5-8890-4996-B7D6-F9D0F2C8E92A}"/>
              </c:ext>
            </c:extLst>
          </c:dPt>
          <c:dPt>
            <c:idx val="15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8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7-8890-4996-B7D6-F9D0F2C8E92A}"/>
              </c:ext>
            </c:extLst>
          </c:dPt>
          <c:dPt>
            <c:idx val="15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8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9-8890-4996-B7D6-F9D0F2C8E92A}"/>
              </c:ext>
            </c:extLst>
          </c:dPt>
          <c:dPt>
            <c:idx val="15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8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B-8890-4996-B7D6-F9D0F2C8E92A}"/>
              </c:ext>
            </c:extLst>
          </c:dPt>
          <c:dPt>
            <c:idx val="15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8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D-8890-4996-B7D6-F9D0F2C8E92A}"/>
              </c:ext>
            </c:extLst>
          </c:dPt>
          <c:dPt>
            <c:idx val="15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7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F-8890-4996-B7D6-F9D0F2C8E92A}"/>
              </c:ext>
            </c:extLst>
          </c:dPt>
          <c:dPt>
            <c:idx val="16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7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1-8890-4996-B7D6-F9D0F2C8E92A}"/>
              </c:ext>
            </c:extLst>
          </c:dPt>
          <c:dPt>
            <c:idx val="16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7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3-8890-4996-B7D6-F9D0F2C8E92A}"/>
              </c:ext>
            </c:extLst>
          </c:dPt>
          <c:dPt>
            <c:idx val="16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7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5-8890-4996-B7D6-F9D0F2C8E92A}"/>
              </c:ext>
            </c:extLst>
          </c:dPt>
          <c:dPt>
            <c:idx val="16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7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7-8890-4996-B7D6-F9D0F2C8E92A}"/>
              </c:ext>
            </c:extLst>
          </c:dPt>
          <c:dPt>
            <c:idx val="16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7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9-8890-4996-B7D6-F9D0F2C8E92A}"/>
              </c:ext>
            </c:extLst>
          </c:dPt>
          <c:dPt>
            <c:idx val="16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7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B-8890-4996-B7D6-F9D0F2C8E92A}"/>
              </c:ext>
            </c:extLst>
          </c:dPt>
          <c:dPt>
            <c:idx val="16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7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D-8890-4996-B7D6-F9D0F2C8E92A}"/>
              </c:ext>
            </c:extLst>
          </c:dPt>
          <c:dPt>
            <c:idx val="16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7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F-8890-4996-B7D6-F9D0F2C8E92A}"/>
              </c:ext>
            </c:extLst>
          </c:dPt>
          <c:dPt>
            <c:idx val="16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7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1-8890-4996-B7D6-F9D0F2C8E92A}"/>
              </c:ext>
            </c:extLst>
          </c:dPt>
          <c:dPt>
            <c:idx val="16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7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3-8890-4996-B7D6-F9D0F2C8E92A}"/>
              </c:ext>
            </c:extLst>
          </c:dPt>
          <c:dPt>
            <c:idx val="17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7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5-8890-4996-B7D6-F9D0F2C8E92A}"/>
              </c:ext>
            </c:extLst>
          </c:dPt>
          <c:dPt>
            <c:idx val="17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7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7-8890-4996-B7D6-F9D0F2C8E92A}"/>
              </c:ext>
            </c:extLst>
          </c:dPt>
          <c:dPt>
            <c:idx val="17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7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9-8890-4996-B7D6-F9D0F2C8E92A}"/>
              </c:ext>
            </c:extLst>
          </c:dPt>
          <c:dPt>
            <c:idx val="17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7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B-8890-4996-B7D6-F9D0F2C8E92A}"/>
              </c:ext>
            </c:extLst>
          </c:dPt>
          <c:dPt>
            <c:idx val="17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7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D-8890-4996-B7D6-F9D0F2C8E92A}"/>
              </c:ext>
            </c:extLst>
          </c:dPt>
          <c:dPt>
            <c:idx val="17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7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F-8890-4996-B7D6-F9D0F2C8E92A}"/>
              </c:ext>
            </c:extLst>
          </c:dPt>
          <c:dPt>
            <c:idx val="17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7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1-8890-4996-B7D6-F9D0F2C8E92A}"/>
              </c:ext>
            </c:extLst>
          </c:dPt>
          <c:dPt>
            <c:idx val="17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6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3-8890-4996-B7D6-F9D0F2C8E92A}"/>
              </c:ext>
            </c:extLst>
          </c:dPt>
          <c:dPt>
            <c:idx val="17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6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5-8890-4996-B7D6-F9D0F2C8E92A}"/>
              </c:ext>
            </c:extLst>
          </c:dPt>
          <c:dPt>
            <c:idx val="17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6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7-8890-4996-B7D6-F9D0F2C8E92A}"/>
              </c:ext>
            </c:extLst>
          </c:dPt>
          <c:dPt>
            <c:idx val="18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6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9-8890-4996-B7D6-F9D0F2C8E92A}"/>
              </c:ext>
            </c:extLst>
          </c:dPt>
          <c:dPt>
            <c:idx val="18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6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B-8890-4996-B7D6-F9D0F2C8E92A}"/>
              </c:ext>
            </c:extLst>
          </c:dPt>
          <c:dPt>
            <c:idx val="18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6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D-8890-4996-B7D6-F9D0F2C8E92A}"/>
              </c:ext>
            </c:extLst>
          </c:dPt>
          <c:dPt>
            <c:idx val="18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6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F-8890-4996-B7D6-F9D0F2C8E92A}"/>
              </c:ext>
            </c:extLst>
          </c:dPt>
          <c:dPt>
            <c:idx val="18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6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1-8890-4996-B7D6-F9D0F2C8E92A}"/>
              </c:ext>
            </c:extLst>
          </c:dPt>
          <c:dPt>
            <c:idx val="18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6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3-8890-4996-B7D6-F9D0F2C8E92A}"/>
              </c:ext>
            </c:extLst>
          </c:dPt>
          <c:dPt>
            <c:idx val="18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6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5-8890-4996-B7D6-F9D0F2C8E92A}"/>
              </c:ext>
            </c:extLst>
          </c:dPt>
          <c:dPt>
            <c:idx val="18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6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7-8890-4996-B7D6-F9D0F2C8E92A}"/>
              </c:ext>
            </c:extLst>
          </c:dPt>
          <c:dPt>
            <c:idx val="18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6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9-8890-4996-B7D6-F9D0F2C8E92A}"/>
              </c:ext>
            </c:extLst>
          </c:dPt>
          <c:dPt>
            <c:idx val="18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6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B-8890-4996-B7D6-F9D0F2C8E92A}"/>
              </c:ext>
            </c:extLst>
          </c:dPt>
          <c:dPt>
            <c:idx val="19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6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D-8890-4996-B7D6-F9D0F2C8E92A}"/>
              </c:ext>
            </c:extLst>
          </c:dPt>
          <c:dPt>
            <c:idx val="19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6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F-8890-4996-B7D6-F9D0F2C8E92A}"/>
              </c:ext>
            </c:extLst>
          </c:dPt>
          <c:dPt>
            <c:idx val="19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6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1-8890-4996-B7D6-F9D0F2C8E92A}"/>
              </c:ext>
            </c:extLst>
          </c:dPt>
          <c:dPt>
            <c:idx val="19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6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3-8890-4996-B7D6-F9D0F2C8E92A}"/>
              </c:ext>
            </c:extLst>
          </c:dPt>
          <c:dPt>
            <c:idx val="19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6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5-8890-4996-B7D6-F9D0F2C8E92A}"/>
              </c:ext>
            </c:extLst>
          </c:dPt>
          <c:dPt>
            <c:idx val="19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5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7-8890-4996-B7D6-F9D0F2C8E92A}"/>
              </c:ext>
            </c:extLst>
          </c:dPt>
          <c:dPt>
            <c:idx val="19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5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9-8890-4996-B7D6-F9D0F2C8E92A}"/>
              </c:ext>
            </c:extLst>
          </c:dPt>
          <c:dPt>
            <c:idx val="19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5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B-8890-4996-B7D6-F9D0F2C8E92A}"/>
              </c:ext>
            </c:extLst>
          </c:dPt>
          <c:dPt>
            <c:idx val="19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5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D-8890-4996-B7D6-F9D0F2C8E92A}"/>
              </c:ext>
            </c:extLst>
          </c:dPt>
          <c:dPt>
            <c:idx val="19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5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F-8890-4996-B7D6-F9D0F2C8E92A}"/>
              </c:ext>
            </c:extLst>
          </c:dPt>
          <c:dPt>
            <c:idx val="20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5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1-8890-4996-B7D6-F9D0F2C8E92A}"/>
              </c:ext>
            </c:extLst>
          </c:dPt>
          <c:dPt>
            <c:idx val="20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5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3-8890-4996-B7D6-F9D0F2C8E92A}"/>
              </c:ext>
            </c:extLst>
          </c:dPt>
          <c:dPt>
            <c:idx val="20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5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5-8890-4996-B7D6-F9D0F2C8E92A}"/>
              </c:ext>
            </c:extLst>
          </c:dPt>
          <c:dPt>
            <c:idx val="20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5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7-8890-4996-B7D6-F9D0F2C8E92A}"/>
              </c:ext>
            </c:extLst>
          </c:dPt>
          <c:dPt>
            <c:idx val="20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5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9-8890-4996-B7D6-F9D0F2C8E92A}"/>
              </c:ext>
            </c:extLst>
          </c:dPt>
          <c:dPt>
            <c:idx val="20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5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B-8890-4996-B7D6-F9D0F2C8E92A}"/>
              </c:ext>
            </c:extLst>
          </c:dPt>
          <c:dPt>
            <c:idx val="20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5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D-8890-4996-B7D6-F9D0F2C8E92A}"/>
              </c:ext>
            </c:extLst>
          </c:dPt>
          <c:dPt>
            <c:idx val="20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5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F-8890-4996-B7D6-F9D0F2C8E92A}"/>
              </c:ext>
            </c:extLst>
          </c:dPt>
          <c:dPt>
            <c:idx val="20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5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1-8890-4996-B7D6-F9D0F2C8E92A}"/>
              </c:ext>
            </c:extLst>
          </c:dPt>
          <c:dPt>
            <c:idx val="20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5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3-8890-4996-B7D6-F9D0F2C8E92A}"/>
              </c:ext>
            </c:extLst>
          </c:dPt>
          <c:dPt>
            <c:idx val="21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5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5-8890-4996-B7D6-F9D0F2C8E92A}"/>
              </c:ext>
            </c:extLst>
          </c:dPt>
          <c:dPt>
            <c:idx val="21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5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7-8890-4996-B7D6-F9D0F2C8E92A}"/>
              </c:ext>
            </c:extLst>
          </c:dPt>
          <c:dPt>
            <c:idx val="21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4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9-8890-4996-B7D6-F9D0F2C8E92A}"/>
              </c:ext>
            </c:extLst>
          </c:dPt>
          <c:dPt>
            <c:idx val="21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4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B-8890-4996-B7D6-F9D0F2C8E92A}"/>
              </c:ext>
            </c:extLst>
          </c:dPt>
          <c:dPt>
            <c:idx val="21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4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D-8890-4996-B7D6-F9D0F2C8E92A}"/>
              </c:ext>
            </c:extLst>
          </c:dPt>
          <c:dPt>
            <c:idx val="21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4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F-8890-4996-B7D6-F9D0F2C8E92A}"/>
              </c:ext>
            </c:extLst>
          </c:dPt>
          <c:dPt>
            <c:idx val="21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4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1-8890-4996-B7D6-F9D0F2C8E92A}"/>
              </c:ext>
            </c:extLst>
          </c:dPt>
          <c:dPt>
            <c:idx val="21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4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3-8890-4996-B7D6-F9D0F2C8E92A}"/>
              </c:ext>
            </c:extLst>
          </c:dPt>
          <c:dPt>
            <c:idx val="21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4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5-8890-4996-B7D6-F9D0F2C8E92A}"/>
              </c:ext>
            </c:extLst>
          </c:dPt>
          <c:dPt>
            <c:idx val="21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4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7-8890-4996-B7D6-F9D0F2C8E92A}"/>
              </c:ext>
            </c:extLst>
          </c:dPt>
          <c:dPt>
            <c:idx val="22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4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9-8890-4996-B7D6-F9D0F2C8E92A}"/>
              </c:ext>
            </c:extLst>
          </c:dPt>
          <c:dPt>
            <c:idx val="22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4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B-8890-4996-B7D6-F9D0F2C8E92A}"/>
              </c:ext>
            </c:extLst>
          </c:dPt>
          <c:dPt>
            <c:idx val="22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4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D-8890-4996-B7D6-F9D0F2C8E92A}"/>
              </c:ext>
            </c:extLst>
          </c:dPt>
          <c:dPt>
            <c:idx val="22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4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F-8890-4996-B7D6-F9D0F2C8E92A}"/>
              </c:ext>
            </c:extLst>
          </c:dPt>
          <c:dPt>
            <c:idx val="22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4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1-8890-4996-B7D6-F9D0F2C8E92A}"/>
              </c:ext>
            </c:extLst>
          </c:dPt>
          <c:dPt>
            <c:idx val="22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4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3-8890-4996-B7D6-F9D0F2C8E92A}"/>
              </c:ext>
            </c:extLst>
          </c:dPt>
          <c:dPt>
            <c:idx val="22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4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5-8890-4996-B7D6-F9D0F2C8E92A}"/>
              </c:ext>
            </c:extLst>
          </c:dPt>
          <c:dPt>
            <c:idx val="22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4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7-8890-4996-B7D6-F9D0F2C8E92A}"/>
              </c:ext>
            </c:extLst>
          </c:dPt>
          <c:dPt>
            <c:idx val="22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4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9-8890-4996-B7D6-F9D0F2C8E92A}"/>
              </c:ext>
            </c:extLst>
          </c:dPt>
          <c:dPt>
            <c:idx val="22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40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B-8890-4996-B7D6-F9D0F2C8E92A}"/>
              </c:ext>
            </c:extLst>
          </c:dPt>
          <c:dPt>
            <c:idx val="23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39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D-8890-4996-B7D6-F9D0F2C8E92A}"/>
              </c:ext>
            </c:extLst>
          </c:dPt>
          <c:dPt>
            <c:idx val="23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3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F-8890-4996-B7D6-F9D0F2C8E92A}"/>
              </c:ext>
            </c:extLst>
          </c:dPt>
          <c:dPt>
            <c:idx val="23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38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1-8890-4996-B7D6-F9D0F2C8E92A}"/>
              </c:ext>
            </c:extLst>
          </c:dPt>
          <c:dPt>
            <c:idx val="23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3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3-8890-4996-B7D6-F9D0F2C8E92A}"/>
              </c:ext>
            </c:extLst>
          </c:dPt>
          <c:dPt>
            <c:idx val="23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37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5-8890-4996-B7D6-F9D0F2C8E92A}"/>
              </c:ext>
            </c:extLst>
          </c:dPt>
          <c:dPt>
            <c:idx val="235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3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7-8890-4996-B7D6-F9D0F2C8E92A}"/>
              </c:ext>
            </c:extLst>
          </c:dPt>
          <c:dPt>
            <c:idx val="236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36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9-8890-4996-B7D6-F9D0F2C8E92A}"/>
              </c:ext>
            </c:extLst>
          </c:dPt>
          <c:dPt>
            <c:idx val="237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35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B-8890-4996-B7D6-F9D0F2C8E92A}"/>
              </c:ext>
            </c:extLst>
          </c:dPt>
          <c:dPt>
            <c:idx val="238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3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D-8890-4996-B7D6-F9D0F2C8E92A}"/>
              </c:ext>
            </c:extLst>
          </c:dPt>
          <c:dPt>
            <c:idx val="239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34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F-8890-4996-B7D6-F9D0F2C8E92A}"/>
              </c:ext>
            </c:extLst>
          </c:dPt>
          <c:dPt>
            <c:idx val="240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3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1-8890-4996-B7D6-F9D0F2C8E92A}"/>
              </c:ext>
            </c:extLst>
          </c:dPt>
          <c:dPt>
            <c:idx val="241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33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3-8890-4996-B7D6-F9D0F2C8E92A}"/>
              </c:ext>
            </c:extLst>
          </c:dPt>
          <c:dPt>
            <c:idx val="242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3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5-8890-4996-B7D6-F9D0F2C8E92A}"/>
              </c:ext>
            </c:extLst>
          </c:dPt>
          <c:dPt>
            <c:idx val="243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32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7-8890-4996-B7D6-F9D0F2C8E92A}"/>
              </c:ext>
            </c:extLst>
          </c:dPt>
          <c:dPt>
            <c:idx val="244"/>
            <c:marker>
              <c:spPr>
                <a:solidFill>
                  <a:schemeClr val="lt1"/>
                </a:solidFill>
                <a:ln w="38100">
                  <a:solidFill>
                    <a:schemeClr val="accent3">
                      <a:tint val="31000"/>
                      <a:alpha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9-8890-4996-B7D6-F9D0F2C8E92A}"/>
              </c:ext>
            </c:extLst>
          </c:dPt>
          <c:trendline>
            <c:spPr>
              <a:ln w="15875" cap="rnd">
                <a:solidFill>
                  <a:schemeClr val="accent3"/>
                </a:solidFill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TABLE'!$W$5:$W$249</c:f>
              <c:numCache>
                <c:formatCode>General</c:formatCode>
                <c:ptCount val="245"/>
                <c:pt idx="0">
                  <c:v>1.9</c:v>
                </c:pt>
                <c:pt idx="1">
                  <c:v>5.8</c:v>
                </c:pt>
                <c:pt idx="2">
                  <c:v>8.4</c:v>
                </c:pt>
                <c:pt idx="3">
                  <c:v>6.1</c:v>
                </c:pt>
                <c:pt idx="4">
                  <c:v>4</c:v>
                </c:pt>
                <c:pt idx="5">
                  <c:v>5.7</c:v>
                </c:pt>
                <c:pt idx="6">
                  <c:v>7.7</c:v>
                </c:pt>
                <c:pt idx="7">
                  <c:v>7.6</c:v>
                </c:pt>
                <c:pt idx="8">
                  <c:v>3</c:v>
                </c:pt>
                <c:pt idx="9">
                  <c:v>5.7</c:v>
                </c:pt>
                <c:pt idx="10">
                  <c:v>4.5</c:v>
                </c:pt>
                <c:pt idx="11">
                  <c:v>6.3</c:v>
                </c:pt>
                <c:pt idx="12">
                  <c:v>5.5</c:v>
                </c:pt>
                <c:pt idx="13">
                  <c:v>1</c:v>
                </c:pt>
                <c:pt idx="14">
                  <c:v>4.2</c:v>
                </c:pt>
                <c:pt idx="15">
                  <c:v>5.2</c:v>
                </c:pt>
                <c:pt idx="16">
                  <c:v>2.2000000000000002</c:v>
                </c:pt>
                <c:pt idx="17">
                  <c:v>5.8</c:v>
                </c:pt>
                <c:pt idx="18">
                  <c:v>2.1</c:v>
                </c:pt>
                <c:pt idx="19">
                  <c:v>3.4</c:v>
                </c:pt>
                <c:pt idx="20">
                  <c:v>7.2</c:v>
                </c:pt>
                <c:pt idx="21">
                  <c:v>3.2</c:v>
                </c:pt>
                <c:pt idx="22">
                  <c:v>5.8</c:v>
                </c:pt>
                <c:pt idx="23">
                  <c:v>1.6</c:v>
                </c:pt>
                <c:pt idx="24">
                  <c:v>8.5</c:v>
                </c:pt>
                <c:pt idx="25">
                  <c:v>4.3</c:v>
                </c:pt>
                <c:pt idx="26">
                  <c:v>5</c:v>
                </c:pt>
                <c:pt idx="27">
                  <c:v>5.0999999999999996</c:v>
                </c:pt>
                <c:pt idx="28">
                  <c:v>5.9</c:v>
                </c:pt>
                <c:pt idx="29">
                  <c:v>2.1</c:v>
                </c:pt>
                <c:pt idx="30">
                  <c:v>4.8</c:v>
                </c:pt>
                <c:pt idx="31">
                  <c:v>3.6</c:v>
                </c:pt>
                <c:pt idx="32">
                  <c:v>1.8</c:v>
                </c:pt>
                <c:pt idx="33">
                  <c:v>6.6</c:v>
                </c:pt>
                <c:pt idx="34">
                  <c:v>4.2</c:v>
                </c:pt>
                <c:pt idx="35">
                  <c:v>5.2</c:v>
                </c:pt>
                <c:pt idx="36">
                  <c:v>5.0999999999999996</c:v>
                </c:pt>
                <c:pt idx="37">
                  <c:v>4.2</c:v>
                </c:pt>
                <c:pt idx="38">
                  <c:v>8.4</c:v>
                </c:pt>
                <c:pt idx="39">
                  <c:v>4.7</c:v>
                </c:pt>
                <c:pt idx="40">
                  <c:v>2</c:v>
                </c:pt>
                <c:pt idx="41">
                  <c:v>4.0999999999999996</c:v>
                </c:pt>
                <c:pt idx="42">
                  <c:v>5.7</c:v>
                </c:pt>
                <c:pt idx="43">
                  <c:v>5.8</c:v>
                </c:pt>
                <c:pt idx="44">
                  <c:v>2.8</c:v>
                </c:pt>
                <c:pt idx="45">
                  <c:v>6.5</c:v>
                </c:pt>
                <c:pt idx="46">
                  <c:v>1.6</c:v>
                </c:pt>
                <c:pt idx="47">
                  <c:v>6.9</c:v>
                </c:pt>
                <c:pt idx="48">
                  <c:v>2.4</c:v>
                </c:pt>
                <c:pt idx="49">
                  <c:v>4.4000000000000004</c:v>
                </c:pt>
                <c:pt idx="50">
                  <c:v>6.7</c:v>
                </c:pt>
                <c:pt idx="51">
                  <c:v>5</c:v>
                </c:pt>
                <c:pt idx="52">
                  <c:v>6.3</c:v>
                </c:pt>
                <c:pt idx="53">
                  <c:v>5.9</c:v>
                </c:pt>
                <c:pt idx="54">
                  <c:v>7.1</c:v>
                </c:pt>
                <c:pt idx="55">
                  <c:v>6.7</c:v>
                </c:pt>
                <c:pt idx="56">
                  <c:v>4</c:v>
                </c:pt>
                <c:pt idx="57">
                  <c:v>5.9</c:v>
                </c:pt>
                <c:pt idx="58">
                  <c:v>2.1</c:v>
                </c:pt>
                <c:pt idx="59">
                  <c:v>4.7</c:v>
                </c:pt>
                <c:pt idx="60">
                  <c:v>6.3</c:v>
                </c:pt>
                <c:pt idx="61">
                  <c:v>5</c:v>
                </c:pt>
                <c:pt idx="62">
                  <c:v>5.6</c:v>
                </c:pt>
                <c:pt idx="63">
                  <c:v>4.4000000000000004</c:v>
                </c:pt>
                <c:pt idx="64">
                  <c:v>6.8</c:v>
                </c:pt>
                <c:pt idx="65">
                  <c:v>4</c:v>
                </c:pt>
                <c:pt idx="66">
                  <c:v>6.4</c:v>
                </c:pt>
                <c:pt idx="67">
                  <c:v>2.2999999999999998</c:v>
                </c:pt>
                <c:pt idx="68">
                  <c:v>5.7</c:v>
                </c:pt>
                <c:pt idx="69">
                  <c:v>2.9</c:v>
                </c:pt>
                <c:pt idx="70">
                  <c:v>7.1</c:v>
                </c:pt>
                <c:pt idx="71">
                  <c:v>4.3</c:v>
                </c:pt>
                <c:pt idx="72">
                  <c:v>5</c:v>
                </c:pt>
                <c:pt idx="73">
                  <c:v>5.5</c:v>
                </c:pt>
                <c:pt idx="74">
                  <c:v>1.3</c:v>
                </c:pt>
                <c:pt idx="75">
                  <c:v>3.6</c:v>
                </c:pt>
                <c:pt idx="76">
                  <c:v>6.7</c:v>
                </c:pt>
                <c:pt idx="77">
                  <c:v>6.4</c:v>
                </c:pt>
                <c:pt idx="78">
                  <c:v>5.3</c:v>
                </c:pt>
                <c:pt idx="79">
                  <c:v>2.4</c:v>
                </c:pt>
                <c:pt idx="80">
                  <c:v>5.9</c:v>
                </c:pt>
                <c:pt idx="81">
                  <c:v>6.1</c:v>
                </c:pt>
                <c:pt idx="82">
                  <c:v>4.9000000000000004</c:v>
                </c:pt>
                <c:pt idx="83">
                  <c:v>7</c:v>
                </c:pt>
                <c:pt idx="84">
                  <c:v>3.6</c:v>
                </c:pt>
                <c:pt idx="85">
                  <c:v>3.9</c:v>
                </c:pt>
                <c:pt idx="86">
                  <c:v>1</c:v>
                </c:pt>
                <c:pt idx="87">
                  <c:v>6.5</c:v>
                </c:pt>
                <c:pt idx="88">
                  <c:v>5.4</c:v>
                </c:pt>
                <c:pt idx="89">
                  <c:v>1.8</c:v>
                </c:pt>
                <c:pt idx="90">
                  <c:v>1.6</c:v>
                </c:pt>
                <c:pt idx="91">
                  <c:v>3.2</c:v>
                </c:pt>
                <c:pt idx="92">
                  <c:v>6.2</c:v>
                </c:pt>
                <c:pt idx="93">
                  <c:v>4.3</c:v>
                </c:pt>
                <c:pt idx="94">
                  <c:v>3.4</c:v>
                </c:pt>
                <c:pt idx="95">
                  <c:v>3</c:v>
                </c:pt>
                <c:pt idx="96">
                  <c:v>2.9</c:v>
                </c:pt>
                <c:pt idx="97">
                  <c:v>1.3</c:v>
                </c:pt>
                <c:pt idx="98">
                  <c:v>2.6</c:v>
                </c:pt>
                <c:pt idx="99">
                  <c:v>2.9</c:v>
                </c:pt>
                <c:pt idx="100">
                  <c:v>6</c:v>
                </c:pt>
                <c:pt idx="101">
                  <c:v>4.5</c:v>
                </c:pt>
                <c:pt idx="102">
                  <c:v>3.3</c:v>
                </c:pt>
                <c:pt idx="103">
                  <c:v>9</c:v>
                </c:pt>
                <c:pt idx="104">
                  <c:v>3.6</c:v>
                </c:pt>
                <c:pt idx="105">
                  <c:v>6.9</c:v>
                </c:pt>
                <c:pt idx="106">
                  <c:v>7.7</c:v>
                </c:pt>
                <c:pt idx="107">
                  <c:v>2</c:v>
                </c:pt>
                <c:pt idx="108">
                  <c:v>4.9000000000000004</c:v>
                </c:pt>
                <c:pt idx="109">
                  <c:v>3.9</c:v>
                </c:pt>
                <c:pt idx="110">
                  <c:v>3.7</c:v>
                </c:pt>
                <c:pt idx="111">
                  <c:v>5.8</c:v>
                </c:pt>
                <c:pt idx="112">
                  <c:v>3.7</c:v>
                </c:pt>
                <c:pt idx="113">
                  <c:v>3.9</c:v>
                </c:pt>
                <c:pt idx="114">
                  <c:v>4.5</c:v>
                </c:pt>
                <c:pt idx="115">
                  <c:v>4.0999999999999996</c:v>
                </c:pt>
                <c:pt idx="116">
                  <c:v>2.7</c:v>
                </c:pt>
                <c:pt idx="117">
                  <c:v>6.2</c:v>
                </c:pt>
                <c:pt idx="118">
                  <c:v>6.7</c:v>
                </c:pt>
                <c:pt idx="119">
                  <c:v>5.4</c:v>
                </c:pt>
                <c:pt idx="120">
                  <c:v>4.0999999999999996</c:v>
                </c:pt>
                <c:pt idx="121">
                  <c:v>3.5</c:v>
                </c:pt>
                <c:pt idx="122">
                  <c:v>3.5</c:v>
                </c:pt>
                <c:pt idx="123">
                  <c:v>9</c:v>
                </c:pt>
                <c:pt idx="124">
                  <c:v>6.5</c:v>
                </c:pt>
                <c:pt idx="125">
                  <c:v>3.3</c:v>
                </c:pt>
                <c:pt idx="126">
                  <c:v>5.0999999999999996</c:v>
                </c:pt>
                <c:pt idx="127">
                  <c:v>4.0999999999999996</c:v>
                </c:pt>
                <c:pt idx="128">
                  <c:v>5.9</c:v>
                </c:pt>
                <c:pt idx="129">
                  <c:v>5.8</c:v>
                </c:pt>
                <c:pt idx="130">
                  <c:v>6.8</c:v>
                </c:pt>
                <c:pt idx="131">
                  <c:v>3.3</c:v>
                </c:pt>
                <c:pt idx="132">
                  <c:v>5</c:v>
                </c:pt>
                <c:pt idx="133">
                  <c:v>1.7</c:v>
                </c:pt>
                <c:pt idx="134">
                  <c:v>2.5</c:v>
                </c:pt>
                <c:pt idx="135">
                  <c:v>6.4</c:v>
                </c:pt>
                <c:pt idx="136">
                  <c:v>3.1</c:v>
                </c:pt>
                <c:pt idx="137">
                  <c:v>3.3</c:v>
                </c:pt>
                <c:pt idx="138">
                  <c:v>6.1</c:v>
                </c:pt>
                <c:pt idx="139">
                  <c:v>2.9</c:v>
                </c:pt>
                <c:pt idx="140">
                  <c:v>1</c:v>
                </c:pt>
                <c:pt idx="141">
                  <c:v>3.2</c:v>
                </c:pt>
                <c:pt idx="142">
                  <c:v>7</c:v>
                </c:pt>
                <c:pt idx="143">
                  <c:v>5.4</c:v>
                </c:pt>
                <c:pt idx="144">
                  <c:v>7.2</c:v>
                </c:pt>
                <c:pt idx="145">
                  <c:v>2.8</c:v>
                </c:pt>
                <c:pt idx="146">
                  <c:v>1.8</c:v>
                </c:pt>
                <c:pt idx="147">
                  <c:v>5.6</c:v>
                </c:pt>
                <c:pt idx="148">
                  <c:v>5.2</c:v>
                </c:pt>
                <c:pt idx="149">
                  <c:v>5.3</c:v>
                </c:pt>
                <c:pt idx="150">
                  <c:v>6.5</c:v>
                </c:pt>
                <c:pt idx="151">
                  <c:v>5.6</c:v>
                </c:pt>
                <c:pt idx="152">
                  <c:v>5.5</c:v>
                </c:pt>
                <c:pt idx="153">
                  <c:v>6.1</c:v>
                </c:pt>
                <c:pt idx="154">
                  <c:v>5.7</c:v>
                </c:pt>
                <c:pt idx="155">
                  <c:v>6.3</c:v>
                </c:pt>
                <c:pt idx="156">
                  <c:v>6.6</c:v>
                </c:pt>
                <c:pt idx="157">
                  <c:v>7.6</c:v>
                </c:pt>
                <c:pt idx="158">
                  <c:v>3.6</c:v>
                </c:pt>
                <c:pt idx="159">
                  <c:v>5.7</c:v>
                </c:pt>
                <c:pt idx="160">
                  <c:v>4.0999999999999996</c:v>
                </c:pt>
                <c:pt idx="161">
                  <c:v>3.3</c:v>
                </c:pt>
                <c:pt idx="162">
                  <c:v>3.6</c:v>
                </c:pt>
                <c:pt idx="163">
                  <c:v>5.7</c:v>
                </c:pt>
                <c:pt idx="164">
                  <c:v>5.6</c:v>
                </c:pt>
                <c:pt idx="165">
                  <c:v>5.5</c:v>
                </c:pt>
                <c:pt idx="166">
                  <c:v>4.4000000000000004</c:v>
                </c:pt>
                <c:pt idx="167">
                  <c:v>4.8</c:v>
                </c:pt>
                <c:pt idx="168">
                  <c:v>6.3</c:v>
                </c:pt>
                <c:pt idx="169">
                  <c:v>2.1</c:v>
                </c:pt>
                <c:pt idx="170">
                  <c:v>4.8</c:v>
                </c:pt>
                <c:pt idx="171">
                  <c:v>5</c:v>
                </c:pt>
                <c:pt idx="172">
                  <c:v>6.2</c:v>
                </c:pt>
                <c:pt idx="173">
                  <c:v>2.4</c:v>
                </c:pt>
                <c:pt idx="174">
                  <c:v>7.5</c:v>
                </c:pt>
                <c:pt idx="175">
                  <c:v>5.2</c:v>
                </c:pt>
                <c:pt idx="176">
                  <c:v>5.3</c:v>
                </c:pt>
                <c:pt idx="177">
                  <c:v>5.8</c:v>
                </c:pt>
                <c:pt idx="178">
                  <c:v>4.9000000000000004</c:v>
                </c:pt>
                <c:pt idx="179">
                  <c:v>7</c:v>
                </c:pt>
                <c:pt idx="180">
                  <c:v>2.2000000000000002</c:v>
                </c:pt>
                <c:pt idx="181">
                  <c:v>5.0999999999999996</c:v>
                </c:pt>
                <c:pt idx="182">
                  <c:v>5.5</c:v>
                </c:pt>
                <c:pt idx="183">
                  <c:v>4.5</c:v>
                </c:pt>
                <c:pt idx="184">
                  <c:v>4.0999999999999996</c:v>
                </c:pt>
                <c:pt idx="185">
                  <c:v>4.0999999999999996</c:v>
                </c:pt>
                <c:pt idx="186">
                  <c:v>5.0999999999999996</c:v>
                </c:pt>
                <c:pt idx="187">
                  <c:v>1.5</c:v>
                </c:pt>
                <c:pt idx="188">
                  <c:v>6.5</c:v>
                </c:pt>
                <c:pt idx="189">
                  <c:v>3.9</c:v>
                </c:pt>
                <c:pt idx="190">
                  <c:v>5</c:v>
                </c:pt>
                <c:pt idx="191">
                  <c:v>5.5</c:v>
                </c:pt>
                <c:pt idx="192">
                  <c:v>3.9</c:v>
                </c:pt>
                <c:pt idx="193">
                  <c:v>4.5999999999999996</c:v>
                </c:pt>
                <c:pt idx="194">
                  <c:v>1.1000000000000001</c:v>
                </c:pt>
                <c:pt idx="195">
                  <c:v>6.1</c:v>
                </c:pt>
                <c:pt idx="196">
                  <c:v>6.7</c:v>
                </c:pt>
                <c:pt idx="197">
                  <c:v>4.0999999999999996</c:v>
                </c:pt>
                <c:pt idx="198">
                  <c:v>2.6</c:v>
                </c:pt>
                <c:pt idx="199">
                  <c:v>4.5</c:v>
                </c:pt>
                <c:pt idx="200">
                  <c:v>6</c:v>
                </c:pt>
                <c:pt idx="201">
                  <c:v>6.6</c:v>
                </c:pt>
                <c:pt idx="202">
                  <c:v>6.8</c:v>
                </c:pt>
                <c:pt idx="203">
                  <c:v>7.2</c:v>
                </c:pt>
                <c:pt idx="204">
                  <c:v>4.4000000000000004</c:v>
                </c:pt>
                <c:pt idx="205">
                  <c:v>2.7</c:v>
                </c:pt>
                <c:pt idx="206">
                  <c:v>4.5999999999999996</c:v>
                </c:pt>
                <c:pt idx="207">
                  <c:v>5.9</c:v>
                </c:pt>
                <c:pt idx="208">
                  <c:v>7.8</c:v>
                </c:pt>
                <c:pt idx="209">
                  <c:v>6.4</c:v>
                </c:pt>
                <c:pt idx="210">
                  <c:v>4.4000000000000004</c:v>
                </c:pt>
                <c:pt idx="211">
                  <c:v>3.5</c:v>
                </c:pt>
                <c:pt idx="212">
                  <c:v>3.6</c:v>
                </c:pt>
                <c:pt idx="213">
                  <c:v>4.9000000000000004</c:v>
                </c:pt>
                <c:pt idx="214">
                  <c:v>4.4000000000000004</c:v>
                </c:pt>
                <c:pt idx="215">
                  <c:v>6.5</c:v>
                </c:pt>
                <c:pt idx="216">
                  <c:v>4.2</c:v>
                </c:pt>
                <c:pt idx="217">
                  <c:v>5.7</c:v>
                </c:pt>
                <c:pt idx="218">
                  <c:v>4.7</c:v>
                </c:pt>
                <c:pt idx="219">
                  <c:v>5.3</c:v>
                </c:pt>
                <c:pt idx="220">
                  <c:v>4.4000000000000004</c:v>
                </c:pt>
                <c:pt idx="221">
                  <c:v>6.1</c:v>
                </c:pt>
                <c:pt idx="222">
                  <c:v>6.1</c:v>
                </c:pt>
                <c:pt idx="223">
                  <c:v>5.6</c:v>
                </c:pt>
                <c:pt idx="224">
                  <c:v>5.9</c:v>
                </c:pt>
                <c:pt idx="225">
                  <c:v>3.1</c:v>
                </c:pt>
                <c:pt idx="226">
                  <c:v>5.4</c:v>
                </c:pt>
                <c:pt idx="227">
                  <c:v>7</c:v>
                </c:pt>
                <c:pt idx="228">
                  <c:v>5.7</c:v>
                </c:pt>
                <c:pt idx="229">
                  <c:v>2.9</c:v>
                </c:pt>
                <c:pt idx="230">
                  <c:v>4.7</c:v>
                </c:pt>
                <c:pt idx="231">
                  <c:v>5.5</c:v>
                </c:pt>
                <c:pt idx="232">
                  <c:v>3.4</c:v>
                </c:pt>
                <c:pt idx="233">
                  <c:v>2.4</c:v>
                </c:pt>
                <c:pt idx="234">
                  <c:v>4.2</c:v>
                </c:pt>
                <c:pt idx="235">
                  <c:v>3.5</c:v>
                </c:pt>
                <c:pt idx="236">
                  <c:v>4.8</c:v>
                </c:pt>
                <c:pt idx="237">
                  <c:v>1.9</c:v>
                </c:pt>
                <c:pt idx="238">
                  <c:v>5.8</c:v>
                </c:pt>
                <c:pt idx="239">
                  <c:v>3.7</c:v>
                </c:pt>
                <c:pt idx="240">
                  <c:v>6.6</c:v>
                </c:pt>
                <c:pt idx="241">
                  <c:v>4.3</c:v>
                </c:pt>
                <c:pt idx="242">
                  <c:v>4.8</c:v>
                </c:pt>
                <c:pt idx="243">
                  <c:v>4.5</c:v>
                </c:pt>
                <c:pt idx="244">
                  <c:v>3.6</c:v>
                </c:pt>
              </c:numCache>
            </c:numRef>
          </c:xVal>
          <c:yVal>
            <c:numRef>
              <c:f>'PIVOT TABLE'!$X$5:$X$249</c:f>
              <c:numCache>
                <c:formatCode>General</c:formatCode>
                <c:ptCount val="245"/>
                <c:pt idx="0">
                  <c:v>80.37</c:v>
                </c:pt>
                <c:pt idx="1">
                  <c:v>68.569999999999993</c:v>
                </c:pt>
                <c:pt idx="2">
                  <c:v>88.2</c:v>
                </c:pt>
                <c:pt idx="3">
                  <c:v>70.72</c:v>
                </c:pt>
                <c:pt idx="4">
                  <c:v>60.68</c:v>
                </c:pt>
                <c:pt idx="5">
                  <c:v>61.35</c:v>
                </c:pt>
                <c:pt idx="6">
                  <c:v>83.05</c:v>
                </c:pt>
                <c:pt idx="7">
                  <c:v>81.22</c:v>
                </c:pt>
                <c:pt idx="8">
                  <c:v>73.33</c:v>
                </c:pt>
                <c:pt idx="9">
                  <c:v>61.21</c:v>
                </c:pt>
                <c:pt idx="10">
                  <c:v>72.39</c:v>
                </c:pt>
                <c:pt idx="11">
                  <c:v>81.41</c:v>
                </c:pt>
                <c:pt idx="12">
                  <c:v>64.19</c:v>
                </c:pt>
                <c:pt idx="13">
                  <c:v>79.040000000000006</c:v>
                </c:pt>
                <c:pt idx="14">
                  <c:v>71.81</c:v>
                </c:pt>
                <c:pt idx="15">
                  <c:v>71.36</c:v>
                </c:pt>
                <c:pt idx="16">
                  <c:v>69.569999999999993</c:v>
                </c:pt>
                <c:pt idx="17">
                  <c:v>74.08</c:v>
                </c:pt>
                <c:pt idx="18">
                  <c:v>68.33</c:v>
                </c:pt>
                <c:pt idx="19">
                  <c:v>74.040000000000006</c:v>
                </c:pt>
                <c:pt idx="20">
                  <c:v>91.62</c:v>
                </c:pt>
                <c:pt idx="21">
                  <c:v>69.739999999999995</c:v>
                </c:pt>
                <c:pt idx="22">
                  <c:v>83.78</c:v>
                </c:pt>
                <c:pt idx="23">
                  <c:v>87.22</c:v>
                </c:pt>
                <c:pt idx="24">
                  <c:v>76.8</c:v>
                </c:pt>
                <c:pt idx="25">
                  <c:v>71.55</c:v>
                </c:pt>
                <c:pt idx="26">
                  <c:v>87.28</c:v>
                </c:pt>
                <c:pt idx="27">
                  <c:v>91.51</c:v>
                </c:pt>
                <c:pt idx="28">
                  <c:v>79.84</c:v>
                </c:pt>
                <c:pt idx="29">
                  <c:v>89.35</c:v>
                </c:pt>
                <c:pt idx="30">
                  <c:v>79.14</c:v>
                </c:pt>
                <c:pt idx="31">
                  <c:v>75.63</c:v>
                </c:pt>
                <c:pt idx="32">
                  <c:v>64.930000000000007</c:v>
                </c:pt>
                <c:pt idx="33">
                  <c:v>85.13</c:v>
                </c:pt>
                <c:pt idx="34">
                  <c:v>72.010000000000005</c:v>
                </c:pt>
                <c:pt idx="35">
                  <c:v>83.01</c:v>
                </c:pt>
                <c:pt idx="36">
                  <c:v>76.59</c:v>
                </c:pt>
                <c:pt idx="37">
                  <c:v>80.78</c:v>
                </c:pt>
                <c:pt idx="38">
                  <c:v>88.51</c:v>
                </c:pt>
                <c:pt idx="39">
                  <c:v>70.599999999999994</c:v>
                </c:pt>
                <c:pt idx="40">
                  <c:v>63.89</c:v>
                </c:pt>
                <c:pt idx="41">
                  <c:v>64.48</c:v>
                </c:pt>
                <c:pt idx="42">
                  <c:v>73.52</c:v>
                </c:pt>
                <c:pt idx="43">
                  <c:v>74.69</c:v>
                </c:pt>
                <c:pt idx="44">
                  <c:v>75.08</c:v>
                </c:pt>
                <c:pt idx="45">
                  <c:v>93.65</c:v>
                </c:pt>
                <c:pt idx="46">
                  <c:v>81.45</c:v>
                </c:pt>
                <c:pt idx="47">
                  <c:v>75</c:v>
                </c:pt>
                <c:pt idx="48">
                  <c:v>64.260000000000005</c:v>
                </c:pt>
                <c:pt idx="49">
                  <c:v>82.14</c:v>
                </c:pt>
                <c:pt idx="50">
                  <c:v>79.739999999999995</c:v>
                </c:pt>
                <c:pt idx="51">
                  <c:v>80.819999999999993</c:v>
                </c:pt>
                <c:pt idx="52">
                  <c:v>71.7</c:v>
                </c:pt>
                <c:pt idx="53">
                  <c:v>64.36</c:v>
                </c:pt>
                <c:pt idx="54">
                  <c:v>74.62</c:v>
                </c:pt>
                <c:pt idx="55">
                  <c:v>77.88</c:v>
                </c:pt>
                <c:pt idx="56">
                  <c:v>75.180000000000007</c:v>
                </c:pt>
                <c:pt idx="57">
                  <c:v>80.7</c:v>
                </c:pt>
                <c:pt idx="58">
                  <c:v>56.34</c:v>
                </c:pt>
                <c:pt idx="59">
                  <c:v>61.64</c:v>
                </c:pt>
                <c:pt idx="60">
                  <c:v>78.739999999999995</c:v>
                </c:pt>
                <c:pt idx="61">
                  <c:v>73.31</c:v>
                </c:pt>
                <c:pt idx="62">
                  <c:v>85.18</c:v>
                </c:pt>
                <c:pt idx="63">
                  <c:v>81.91</c:v>
                </c:pt>
                <c:pt idx="64">
                  <c:v>69.81</c:v>
                </c:pt>
                <c:pt idx="65">
                  <c:v>73.56</c:v>
                </c:pt>
                <c:pt idx="66">
                  <c:v>86.36</c:v>
                </c:pt>
                <c:pt idx="67">
                  <c:v>69.95</c:v>
                </c:pt>
                <c:pt idx="68">
                  <c:v>78.03</c:v>
                </c:pt>
                <c:pt idx="69">
                  <c:v>84.23</c:v>
                </c:pt>
                <c:pt idx="70">
                  <c:v>83.79</c:v>
                </c:pt>
                <c:pt idx="71">
                  <c:v>62.36</c:v>
                </c:pt>
                <c:pt idx="72">
                  <c:v>71.180000000000007</c:v>
                </c:pt>
                <c:pt idx="73">
                  <c:v>73.010000000000005</c:v>
                </c:pt>
                <c:pt idx="74">
                  <c:v>71.62</c:v>
                </c:pt>
                <c:pt idx="75">
                  <c:v>60.3</c:v>
                </c:pt>
                <c:pt idx="76">
                  <c:v>84.78</c:v>
                </c:pt>
                <c:pt idx="77">
                  <c:v>76.61</c:v>
                </c:pt>
                <c:pt idx="78">
                  <c:v>78.83</c:v>
                </c:pt>
                <c:pt idx="79">
                  <c:v>63.39</c:v>
                </c:pt>
                <c:pt idx="80">
                  <c:v>79.56</c:v>
                </c:pt>
                <c:pt idx="81">
                  <c:v>83.65</c:v>
                </c:pt>
                <c:pt idx="82">
                  <c:v>73.010000000000005</c:v>
                </c:pt>
                <c:pt idx="83">
                  <c:v>75.650000000000006</c:v>
                </c:pt>
                <c:pt idx="84">
                  <c:v>77.150000000000006</c:v>
                </c:pt>
                <c:pt idx="85">
                  <c:v>55.93</c:v>
                </c:pt>
                <c:pt idx="86">
                  <c:v>64.23</c:v>
                </c:pt>
                <c:pt idx="87">
                  <c:v>77.819999999999993</c:v>
                </c:pt>
                <c:pt idx="88">
                  <c:v>70.989999999999995</c:v>
                </c:pt>
                <c:pt idx="89">
                  <c:v>68.290000000000006</c:v>
                </c:pt>
                <c:pt idx="90">
                  <c:v>72.44</c:v>
                </c:pt>
                <c:pt idx="91">
                  <c:v>50.2</c:v>
                </c:pt>
                <c:pt idx="92">
                  <c:v>69.58</c:v>
                </c:pt>
                <c:pt idx="93">
                  <c:v>46.3</c:v>
                </c:pt>
                <c:pt idx="94">
                  <c:v>78.73</c:v>
                </c:pt>
                <c:pt idx="95">
                  <c:v>79.180000000000007</c:v>
                </c:pt>
                <c:pt idx="96">
                  <c:v>63.35</c:v>
                </c:pt>
                <c:pt idx="97">
                  <c:v>74.3</c:v>
                </c:pt>
                <c:pt idx="98">
                  <c:v>64.41</c:v>
                </c:pt>
                <c:pt idx="99">
                  <c:v>70.650000000000006</c:v>
                </c:pt>
                <c:pt idx="100">
                  <c:v>82.02</c:v>
                </c:pt>
                <c:pt idx="101">
                  <c:v>76.98</c:v>
                </c:pt>
                <c:pt idx="102">
                  <c:v>69.94</c:v>
                </c:pt>
                <c:pt idx="103">
                  <c:v>72.97</c:v>
                </c:pt>
                <c:pt idx="104">
                  <c:v>79.489999999999995</c:v>
                </c:pt>
                <c:pt idx="105">
                  <c:v>69.790000000000006</c:v>
                </c:pt>
                <c:pt idx="106">
                  <c:v>83.36</c:v>
                </c:pt>
                <c:pt idx="107">
                  <c:v>73.02</c:v>
                </c:pt>
                <c:pt idx="108">
                  <c:v>70.12</c:v>
                </c:pt>
                <c:pt idx="109">
                  <c:v>72.23</c:v>
                </c:pt>
                <c:pt idx="110">
                  <c:v>65.56</c:v>
                </c:pt>
                <c:pt idx="111">
                  <c:v>62.36</c:v>
                </c:pt>
                <c:pt idx="112">
                  <c:v>74.489999999999995</c:v>
                </c:pt>
                <c:pt idx="113">
                  <c:v>80.150000000000006</c:v>
                </c:pt>
                <c:pt idx="114">
                  <c:v>91.31</c:v>
                </c:pt>
                <c:pt idx="115">
                  <c:v>69.08</c:v>
                </c:pt>
                <c:pt idx="116">
                  <c:v>81.3</c:v>
                </c:pt>
                <c:pt idx="117">
                  <c:v>75.069999999999993</c:v>
                </c:pt>
                <c:pt idx="118">
                  <c:v>87.5</c:v>
                </c:pt>
                <c:pt idx="119">
                  <c:v>72.180000000000007</c:v>
                </c:pt>
                <c:pt idx="120">
                  <c:v>76.349999999999994</c:v>
                </c:pt>
                <c:pt idx="121">
                  <c:v>75.260000000000005</c:v>
                </c:pt>
                <c:pt idx="122">
                  <c:v>77.13</c:v>
                </c:pt>
                <c:pt idx="123">
                  <c:v>77.73</c:v>
                </c:pt>
                <c:pt idx="124">
                  <c:v>85.05</c:v>
                </c:pt>
                <c:pt idx="125">
                  <c:v>69.44</c:v>
                </c:pt>
                <c:pt idx="126">
                  <c:v>83.91</c:v>
                </c:pt>
                <c:pt idx="127">
                  <c:v>78.92</c:v>
                </c:pt>
                <c:pt idx="128">
                  <c:v>69.59</c:v>
                </c:pt>
                <c:pt idx="129">
                  <c:v>85.78</c:v>
                </c:pt>
                <c:pt idx="130">
                  <c:v>72.069999999999993</c:v>
                </c:pt>
                <c:pt idx="131">
                  <c:v>83.22</c:v>
                </c:pt>
                <c:pt idx="132">
                  <c:v>64.709999999999994</c:v>
                </c:pt>
                <c:pt idx="133">
                  <c:v>61.25</c:v>
                </c:pt>
                <c:pt idx="134">
                  <c:v>80.83</c:v>
                </c:pt>
                <c:pt idx="135">
                  <c:v>63.63</c:v>
                </c:pt>
                <c:pt idx="136">
                  <c:v>91.45</c:v>
                </c:pt>
                <c:pt idx="137">
                  <c:v>61.03</c:v>
                </c:pt>
                <c:pt idx="138">
                  <c:v>89.54</c:v>
                </c:pt>
                <c:pt idx="139">
                  <c:v>64.33</c:v>
                </c:pt>
                <c:pt idx="140">
                  <c:v>45.34</c:v>
                </c:pt>
                <c:pt idx="141">
                  <c:v>75.58</c:v>
                </c:pt>
                <c:pt idx="142">
                  <c:v>65.25</c:v>
                </c:pt>
                <c:pt idx="143">
                  <c:v>68.069999999999993</c:v>
                </c:pt>
                <c:pt idx="144">
                  <c:v>79.45</c:v>
                </c:pt>
                <c:pt idx="145">
                  <c:v>76.7</c:v>
                </c:pt>
                <c:pt idx="146">
                  <c:v>85.12</c:v>
                </c:pt>
                <c:pt idx="147">
                  <c:v>64.83</c:v>
                </c:pt>
                <c:pt idx="148">
                  <c:v>66.11</c:v>
                </c:pt>
                <c:pt idx="149">
                  <c:v>81.13</c:v>
                </c:pt>
                <c:pt idx="150">
                  <c:v>74.349999999999994</c:v>
                </c:pt>
                <c:pt idx="151">
                  <c:v>86.24</c:v>
                </c:pt>
                <c:pt idx="152">
                  <c:v>83.23</c:v>
                </c:pt>
                <c:pt idx="153">
                  <c:v>83.63</c:v>
                </c:pt>
                <c:pt idx="154">
                  <c:v>87.39</c:v>
                </c:pt>
                <c:pt idx="155">
                  <c:v>83.99</c:v>
                </c:pt>
                <c:pt idx="156">
                  <c:v>71.03</c:v>
                </c:pt>
                <c:pt idx="157">
                  <c:v>83.43</c:v>
                </c:pt>
                <c:pt idx="158">
                  <c:v>71.75</c:v>
                </c:pt>
                <c:pt idx="159">
                  <c:v>80.44</c:v>
                </c:pt>
                <c:pt idx="160">
                  <c:v>81.08</c:v>
                </c:pt>
                <c:pt idx="161">
                  <c:v>83.65</c:v>
                </c:pt>
                <c:pt idx="162">
                  <c:v>70.67</c:v>
                </c:pt>
                <c:pt idx="163">
                  <c:v>67.36</c:v>
                </c:pt>
                <c:pt idx="164">
                  <c:v>69.84</c:v>
                </c:pt>
                <c:pt idx="165">
                  <c:v>80.37</c:v>
                </c:pt>
                <c:pt idx="166">
                  <c:v>67.25</c:v>
                </c:pt>
                <c:pt idx="167">
                  <c:v>85.33</c:v>
                </c:pt>
                <c:pt idx="168">
                  <c:v>65.930000000000007</c:v>
                </c:pt>
                <c:pt idx="169">
                  <c:v>58.76</c:v>
                </c:pt>
                <c:pt idx="170">
                  <c:v>79.239999999999995</c:v>
                </c:pt>
                <c:pt idx="171">
                  <c:v>82.79</c:v>
                </c:pt>
                <c:pt idx="172">
                  <c:v>76.3</c:v>
                </c:pt>
                <c:pt idx="173">
                  <c:v>73.349999999999994</c:v>
                </c:pt>
                <c:pt idx="174">
                  <c:v>72.56</c:v>
                </c:pt>
                <c:pt idx="175">
                  <c:v>70.349999999999994</c:v>
                </c:pt>
                <c:pt idx="176">
                  <c:v>70.790000000000006</c:v>
                </c:pt>
                <c:pt idx="177">
                  <c:v>75.569999999999993</c:v>
                </c:pt>
                <c:pt idx="178">
                  <c:v>86.36</c:v>
                </c:pt>
                <c:pt idx="179">
                  <c:v>63.6</c:v>
                </c:pt>
                <c:pt idx="180">
                  <c:v>63.47</c:v>
                </c:pt>
                <c:pt idx="181">
                  <c:v>85.78</c:v>
                </c:pt>
                <c:pt idx="182">
                  <c:v>61.81</c:v>
                </c:pt>
                <c:pt idx="183">
                  <c:v>88.05</c:v>
                </c:pt>
                <c:pt idx="184">
                  <c:v>86.81</c:v>
                </c:pt>
                <c:pt idx="185">
                  <c:v>76.7</c:v>
                </c:pt>
                <c:pt idx="186">
                  <c:v>84.1</c:v>
                </c:pt>
                <c:pt idx="187">
                  <c:v>77.56</c:v>
                </c:pt>
                <c:pt idx="188">
                  <c:v>91.33</c:v>
                </c:pt>
                <c:pt idx="189">
                  <c:v>81.17</c:v>
                </c:pt>
                <c:pt idx="190">
                  <c:v>80.48</c:v>
                </c:pt>
                <c:pt idx="191">
                  <c:v>77.319999999999993</c:v>
                </c:pt>
                <c:pt idx="192">
                  <c:v>71.569999999999993</c:v>
                </c:pt>
                <c:pt idx="193">
                  <c:v>71.03</c:v>
                </c:pt>
                <c:pt idx="194">
                  <c:v>67.069999999999993</c:v>
                </c:pt>
                <c:pt idx="195">
                  <c:v>76.430000000000007</c:v>
                </c:pt>
                <c:pt idx="196">
                  <c:v>66.63</c:v>
                </c:pt>
                <c:pt idx="197">
                  <c:v>63.15</c:v>
                </c:pt>
                <c:pt idx="198">
                  <c:v>82.77</c:v>
                </c:pt>
                <c:pt idx="199">
                  <c:v>73.2</c:v>
                </c:pt>
                <c:pt idx="200">
                  <c:v>70.75</c:v>
                </c:pt>
                <c:pt idx="201">
                  <c:v>71.55</c:v>
                </c:pt>
                <c:pt idx="202">
                  <c:v>77.83</c:v>
                </c:pt>
                <c:pt idx="203">
                  <c:v>68.09</c:v>
                </c:pt>
                <c:pt idx="204">
                  <c:v>59.84</c:v>
                </c:pt>
                <c:pt idx="205">
                  <c:v>85.23</c:v>
                </c:pt>
                <c:pt idx="206">
                  <c:v>87.19</c:v>
                </c:pt>
                <c:pt idx="207">
                  <c:v>76.59</c:v>
                </c:pt>
                <c:pt idx="208">
                  <c:v>66.44</c:v>
                </c:pt>
                <c:pt idx="209">
                  <c:v>89.69</c:v>
                </c:pt>
                <c:pt idx="210">
                  <c:v>66.5</c:v>
                </c:pt>
                <c:pt idx="211">
                  <c:v>81.42</c:v>
                </c:pt>
                <c:pt idx="212">
                  <c:v>83.4</c:v>
                </c:pt>
                <c:pt idx="213">
                  <c:v>64.319999999999993</c:v>
                </c:pt>
                <c:pt idx="214">
                  <c:v>83.51</c:v>
                </c:pt>
                <c:pt idx="215">
                  <c:v>85.07</c:v>
                </c:pt>
                <c:pt idx="216">
                  <c:v>80.17</c:v>
                </c:pt>
                <c:pt idx="217">
                  <c:v>74.87</c:v>
                </c:pt>
                <c:pt idx="218">
                  <c:v>77.180000000000007</c:v>
                </c:pt>
                <c:pt idx="219">
                  <c:v>86.87</c:v>
                </c:pt>
                <c:pt idx="220">
                  <c:v>70.2</c:v>
                </c:pt>
                <c:pt idx="221">
                  <c:v>85.45</c:v>
                </c:pt>
                <c:pt idx="222">
                  <c:v>59.8</c:v>
                </c:pt>
                <c:pt idx="223">
                  <c:v>75.849999999999994</c:v>
                </c:pt>
                <c:pt idx="224">
                  <c:v>88.49</c:v>
                </c:pt>
                <c:pt idx="225">
                  <c:v>88.74</c:v>
                </c:pt>
                <c:pt idx="226">
                  <c:v>83.06</c:v>
                </c:pt>
                <c:pt idx="227">
                  <c:v>73.099999999999994</c:v>
                </c:pt>
                <c:pt idx="228">
                  <c:v>76.569999999999993</c:v>
                </c:pt>
                <c:pt idx="229">
                  <c:v>88.56</c:v>
                </c:pt>
                <c:pt idx="230">
                  <c:v>75.650000000000006</c:v>
                </c:pt>
                <c:pt idx="231">
                  <c:v>84.35</c:v>
                </c:pt>
                <c:pt idx="232">
                  <c:v>70.84</c:v>
                </c:pt>
                <c:pt idx="233">
                  <c:v>77.290000000000006</c:v>
                </c:pt>
                <c:pt idx="234">
                  <c:v>75.040000000000006</c:v>
                </c:pt>
                <c:pt idx="235">
                  <c:v>71.209999999999994</c:v>
                </c:pt>
                <c:pt idx="236">
                  <c:v>75.09</c:v>
                </c:pt>
                <c:pt idx="237">
                  <c:v>77.86</c:v>
                </c:pt>
                <c:pt idx="238">
                  <c:v>75.08</c:v>
                </c:pt>
                <c:pt idx="239">
                  <c:v>87.43</c:v>
                </c:pt>
                <c:pt idx="240">
                  <c:v>82.2</c:v>
                </c:pt>
                <c:pt idx="241">
                  <c:v>63.88</c:v>
                </c:pt>
                <c:pt idx="242">
                  <c:v>58.02</c:v>
                </c:pt>
                <c:pt idx="243">
                  <c:v>86.03</c:v>
                </c:pt>
                <c:pt idx="244">
                  <c:v>81.760000000000005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4C-433D-A48B-155B858A4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Study Hours per Day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Overall Score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Internship vs Placement Status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6181818181818188E-2"/>
          <c:y val="0.13749720940054908"/>
          <c:w val="0.82684848484848483"/>
          <c:h val="0.63663468790539113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'PIVOT TABLE'!$B$22</c:f>
              <c:strCache>
                <c:ptCount val="1"/>
                <c:pt idx="0">
                  <c:v>Placed</c:v>
                </c:pt>
              </c:strCache>
            </c:strRef>
          </c:tx>
          <c:spPr>
            <a:solidFill>
              <a:srgbClr val="63BE7B"/>
            </a:solidFill>
            <a:ln>
              <a:solidFill>
                <a:srgbClr val="63BE7B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TABLE'!$A$23:$A$24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TABLE'!$B$23:$B$24</c:f>
              <c:numCache>
                <c:formatCode>0</c:formatCode>
                <c:ptCount val="2"/>
                <c:pt idx="0">
                  <c:v>76</c:v>
                </c:pt>
                <c:pt idx="1">
                  <c:v>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3BE7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B7E-4E1D-A7D0-E44FC66A97C2}"/>
            </c:ext>
          </c:extLst>
        </c:ser>
        <c:ser>
          <c:idx val="1"/>
          <c:order val="1"/>
          <c:tx>
            <c:strRef>
              <c:f>'PIVOT TABLE'!$C$22</c:f>
              <c:strCache>
                <c:ptCount val="1"/>
                <c:pt idx="0">
                  <c:v>Not Placed</c:v>
                </c:pt>
              </c:strCache>
            </c:strRef>
          </c:tx>
          <c:spPr>
            <a:solidFill>
              <a:srgbClr val="F8696B"/>
            </a:solidFill>
            <a:ln>
              <a:solidFill>
                <a:srgbClr val="F8696B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TABLE'!$A$23:$A$24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TABLE'!$C$23:$C$24</c:f>
              <c:numCache>
                <c:formatCode>0</c:formatCode>
                <c:ptCount val="2"/>
                <c:pt idx="0">
                  <c:v>70</c:v>
                </c:pt>
                <c:pt idx="1">
                  <c:v>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8696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B7E-4E1D-A7D0-E44FC66A97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8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Internship (Yes / No)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Students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Backlogs vs Placement Status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6181818181818188E-2"/>
          <c:y val="0.1152784237726098"/>
          <c:w val="0.88029966329966325"/>
          <c:h val="0.6301815245478036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'PIVOT TABLE'!$B$28</c:f>
              <c:strCache>
                <c:ptCount val="1"/>
                <c:pt idx="0">
                  <c:v>Placed</c:v>
                </c:pt>
              </c:strCache>
            </c:strRef>
          </c:tx>
          <c:spPr>
            <a:solidFill>
              <a:srgbClr val="63BE7B"/>
            </a:solidFill>
            <a:ln>
              <a:solidFill>
                <a:srgbClr val="63BE7B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'PIVOT TABLE'!$A$29:$A$33</c:f>
              <c:numCache>
                <c:formatCode>0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'PIVOT TABLE'!$B$29:$B$33</c:f>
              <c:numCache>
                <c:formatCode>0</c:formatCode>
                <c:ptCount val="5"/>
                <c:pt idx="0">
                  <c:v>90</c:v>
                </c:pt>
                <c:pt idx="1">
                  <c:v>36</c:v>
                </c:pt>
                <c:pt idx="2">
                  <c:v>9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3BE7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156-4B2C-B300-6242111EF25F}"/>
            </c:ext>
          </c:extLst>
        </c:ser>
        <c:ser>
          <c:idx val="1"/>
          <c:order val="1"/>
          <c:tx>
            <c:strRef>
              <c:f>'PIVOT TABLE'!$C$28</c:f>
              <c:strCache>
                <c:ptCount val="1"/>
                <c:pt idx="0">
                  <c:v>Not Placed</c:v>
                </c:pt>
              </c:strCache>
            </c:strRef>
          </c:tx>
          <c:spPr>
            <a:solidFill>
              <a:srgbClr val="F8696B"/>
            </a:solidFill>
            <a:ln>
              <a:solidFill>
                <a:srgbClr val="F8696B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'PIVOT TABLE'!$A$29:$A$33</c:f>
              <c:numCache>
                <c:formatCode>0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'PIVOT TABLE'!$C$29:$C$33</c:f>
              <c:numCache>
                <c:formatCode>0</c:formatCode>
                <c:ptCount val="5"/>
                <c:pt idx="0">
                  <c:v>53</c:v>
                </c:pt>
                <c:pt idx="1">
                  <c:v>24</c:v>
                </c:pt>
                <c:pt idx="2">
                  <c:v>25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8696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156-4B2C-B300-6242111EF2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Backlogs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Students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Average Monthly Stipend by Department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884898989898989"/>
          <c:y val="9.4347545219638243E-2"/>
          <c:w val="0.71786548821548823"/>
          <c:h val="0.6552144702842377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'PIVOT TABLE'!$B$52</c:f>
              <c:strCache>
                <c:ptCount val="1"/>
                <c:pt idx="0">
                  <c:v>Avg Stipend (All Students)</c:v>
                </c:pt>
              </c:strCache>
            </c:strRef>
          </c:tx>
          <c:spPr>
            <a:solidFill>
              <a:srgbClr val="9BBB59"/>
            </a:solidFill>
            <a:ln>
              <a:solidFill>
                <a:srgbClr val="9BBB59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TABLE'!$A$53:$A$57</c:f>
              <c:strCache>
                <c:ptCount val="5"/>
                <c:pt idx="0">
                  <c:v>AI-ML</c:v>
                </c:pt>
                <c:pt idx="1">
                  <c:v>Computer Engineering</c:v>
                </c:pt>
                <c:pt idx="2">
                  <c:v>Data Science</c:v>
                </c:pt>
                <c:pt idx="3">
                  <c:v>Electronics</c:v>
                </c:pt>
                <c:pt idx="4">
                  <c:v>IT</c:v>
                </c:pt>
              </c:strCache>
            </c:strRef>
          </c:cat>
          <c:val>
            <c:numRef>
              <c:f>'PIVOT TABLE'!$B$53:$B$57</c:f>
              <c:numCache>
                <c:formatCode>"₹"#,##0</c:formatCode>
                <c:ptCount val="5"/>
                <c:pt idx="0">
                  <c:v>4485.770833333333</c:v>
                </c:pt>
                <c:pt idx="1">
                  <c:v>5223.6315789473683</c:v>
                </c:pt>
                <c:pt idx="2">
                  <c:v>6234.3243243243242</c:v>
                </c:pt>
                <c:pt idx="3">
                  <c:v>5285.4634146341459</c:v>
                </c:pt>
                <c:pt idx="4">
                  <c:v>4667.104166666667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BBB5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0B3-4207-8687-3AB6DB6902BA}"/>
            </c:ext>
          </c:extLst>
        </c:ser>
        <c:ser>
          <c:idx val="1"/>
          <c:order val="1"/>
          <c:tx>
            <c:strRef>
              <c:f>'PIVOT TABLE'!$C$52</c:f>
              <c:strCache>
                <c:ptCount val="1"/>
                <c:pt idx="0">
                  <c:v>Avg Stipend (Interns Only)</c:v>
                </c:pt>
              </c:strCache>
            </c:strRef>
          </c:tx>
          <c:spPr>
            <a:solidFill>
              <a:srgbClr val="002060"/>
            </a:solidFill>
            <a:ln>
              <a:solidFill>
                <a:srgbClr val="00206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TABLE'!$A$53:$A$57</c:f>
              <c:strCache>
                <c:ptCount val="5"/>
                <c:pt idx="0">
                  <c:v>AI-ML</c:v>
                </c:pt>
                <c:pt idx="1">
                  <c:v>Computer Engineering</c:v>
                </c:pt>
                <c:pt idx="2">
                  <c:v>Data Science</c:v>
                </c:pt>
                <c:pt idx="3">
                  <c:v>Electronics</c:v>
                </c:pt>
                <c:pt idx="4">
                  <c:v>IT</c:v>
                </c:pt>
              </c:strCache>
            </c:strRef>
          </c:cat>
          <c:val>
            <c:numRef>
              <c:f>'PIVOT TABLE'!$C$53:$C$57</c:f>
              <c:numCache>
                <c:formatCode>"₹"#,##0</c:formatCode>
                <c:ptCount val="5"/>
                <c:pt idx="0">
                  <c:v>12665.705882352941</c:v>
                </c:pt>
                <c:pt idx="1">
                  <c:v>12806.322580645161</c:v>
                </c:pt>
                <c:pt idx="2">
                  <c:v>12140.526315789473</c:v>
                </c:pt>
                <c:pt idx="3">
                  <c:v>11405.473684210527</c:v>
                </c:pt>
                <c:pt idx="4">
                  <c:v>12445.611111111111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206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0B3-4207-8687-3AB6DB6902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Department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Stipend (₹ / month)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IN"/>
              <a:t>Semester-wise Performance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166279461279462"/>
          <c:y val="0.12758462532299741"/>
          <c:w val="0.84481868686868689"/>
          <c:h val="0.60967118863049086"/>
        </c:manualLayout>
      </c:layout>
      <c:lineChart>
        <c:grouping val="standard"/>
        <c:varyColors val="1"/>
        <c:ser>
          <c:idx val="0"/>
          <c:order val="0"/>
          <c:tx>
            <c:strRef>
              <c:f>'PIVOT TABLE'!$B$61</c:f>
              <c:strCache>
                <c:ptCount val="1"/>
                <c:pt idx="0">
                  <c:v>Average of Overall_Score</c:v>
                </c:pt>
              </c:strCache>
            </c:strRef>
          </c:tx>
          <c:spPr>
            <a:ln w="28575">
              <a:solidFill>
                <a:srgbClr val="00206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2060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'PIVOT TABLE'!$A$62:$A$69</c:f>
              <c:numCache>
                <c:formatCode>"Sem "0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'PIVOT TABLE'!$B$62:$B$69</c:f>
              <c:numCache>
                <c:formatCode>0.00</c:formatCode>
                <c:ptCount val="8"/>
                <c:pt idx="0">
                  <c:v>75.435675675675682</c:v>
                </c:pt>
                <c:pt idx="1">
                  <c:v>77.779428571428596</c:v>
                </c:pt>
                <c:pt idx="2">
                  <c:v>76.215483870967716</c:v>
                </c:pt>
                <c:pt idx="3">
                  <c:v>72.87299999999999</c:v>
                </c:pt>
                <c:pt idx="4">
                  <c:v>74.409210526315803</c:v>
                </c:pt>
                <c:pt idx="5">
                  <c:v>73.739696969696951</c:v>
                </c:pt>
                <c:pt idx="6">
                  <c:v>77.300333333333327</c:v>
                </c:pt>
                <c:pt idx="7">
                  <c:v>72.856538461538449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9-44D9-A2A3-20AD242C6ABB}"/>
            </c:ext>
          </c:extLst>
        </c:ser>
        <c:ser>
          <c:idx val="1"/>
          <c:order val="1"/>
          <c:tx>
            <c:strRef>
              <c:f>'PIVOT TABLE'!$C$61</c:f>
              <c:strCache>
                <c:ptCount val="1"/>
                <c:pt idx="0">
                  <c:v>Average of Attendance_%</c:v>
                </c:pt>
              </c:strCache>
            </c:strRef>
          </c:tx>
          <c:spPr>
            <a:ln w="28575">
              <a:solidFill>
                <a:srgbClr val="F79646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7964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'PIVOT TABLE'!$A$62:$A$69</c:f>
              <c:numCache>
                <c:formatCode>"Sem "0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'PIVOT TABLE'!$C$62:$C$69</c:f>
              <c:numCache>
                <c:formatCode>0.0</c:formatCode>
                <c:ptCount val="8"/>
                <c:pt idx="0">
                  <c:v>82.638888888888886</c:v>
                </c:pt>
                <c:pt idx="1">
                  <c:v>80.231250000000003</c:v>
                </c:pt>
                <c:pt idx="2">
                  <c:v>81.306451612903246</c:v>
                </c:pt>
                <c:pt idx="3">
                  <c:v>82.984210526315806</c:v>
                </c:pt>
                <c:pt idx="4">
                  <c:v>81.647368421052633</c:v>
                </c:pt>
                <c:pt idx="5">
                  <c:v>78.38484848484849</c:v>
                </c:pt>
                <c:pt idx="6">
                  <c:v>84.423333333333332</c:v>
                </c:pt>
                <c:pt idx="7">
                  <c:v>78.723076923076917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79-44D9-A2A3-20AD242C6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Semester</a:t>
                </a:r>
              </a:p>
            </c:rich>
          </c:tx>
          <c:overlay val="1"/>
        </c:title>
        <c:numFmt formatCode="&quot;Sem &quot;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90"/>
          <c:min val="6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Score / Attendance % (axis starts at 60)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Gender-wise Average Score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440875420875421"/>
          <c:y val="0.13168669250645995"/>
          <c:w val="0.86207272727272743"/>
          <c:h val="0.5891608527131783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'PIVOT TABLE'!$B$37</c:f>
              <c:strCache>
                <c:ptCount val="1"/>
                <c:pt idx="0">
                  <c:v>Average of Overall_Score</c:v>
                </c:pt>
              </c:strCache>
            </c:strRef>
          </c:tx>
          <c:spPr>
            <a:solidFill>
              <a:srgbClr val="002060"/>
            </a:solidFill>
            <a:ln>
              <a:solidFill>
                <a:srgbClr val="00206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TABLE'!$A$38:$A$39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TABLE'!$B$38:$B$39</c:f>
              <c:numCache>
                <c:formatCode>0.00</c:formatCode>
                <c:ptCount val="2"/>
                <c:pt idx="0">
                  <c:v>74.595175438596513</c:v>
                </c:pt>
                <c:pt idx="1">
                  <c:v>75.76419117647059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206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2DE-4C73-9345-DCC28135B017}"/>
            </c:ext>
          </c:extLst>
        </c:ser>
        <c:ser>
          <c:idx val="1"/>
          <c:order val="1"/>
          <c:tx>
            <c:strRef>
              <c:f>'PIVOT TABLE'!$C$37</c:f>
              <c:strCache>
                <c:ptCount val="1"/>
                <c:pt idx="0">
                  <c:v>Average of Final_Exam_Score</c:v>
                </c:pt>
              </c:strCache>
            </c:strRef>
          </c:tx>
          <c:spPr>
            <a:solidFill>
              <a:srgbClr val="4F81BD"/>
            </a:solidFill>
            <a:ln>
              <a:solidFill>
                <a:srgbClr val="4F81BD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TABLE'!$A$38:$A$39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TABLE'!$C$38:$C$39</c:f>
              <c:numCache>
                <c:formatCode>0.00</c:formatCode>
                <c:ptCount val="2"/>
                <c:pt idx="0">
                  <c:v>75.721929824561414</c:v>
                </c:pt>
                <c:pt idx="1">
                  <c:v>77.964705882352959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F81B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2DE-4C73-9345-DCC28135B0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Gender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90"/>
          <c:min val="6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Score (axis starts at 60)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Department-wise Certification Count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73400673400672"/>
          <c:y val="0.11938049095607234"/>
          <c:w val="0.87174747474747494"/>
          <c:h val="0.6375445736434108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'PIVOT TABLE'!$B$43</c:f>
              <c:strCache>
                <c:ptCount val="1"/>
                <c:pt idx="0">
                  <c:v>Sum of Certifications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6">
                  <a:tint val="54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A29-4122-99D7-623DF84B9201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>
                  <a:tint val="77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A29-4122-99D7-623DF84B9201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A29-4122-99D7-623DF84B9201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6">
                  <a:shade val="76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A29-4122-99D7-623DF84B9201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6">
                  <a:shade val="53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A29-4122-99D7-623DF84B92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TABLE'!$A$44:$A$48</c:f>
              <c:strCache>
                <c:ptCount val="5"/>
                <c:pt idx="0">
                  <c:v>AI-ML</c:v>
                </c:pt>
                <c:pt idx="1">
                  <c:v>Computer Engineering</c:v>
                </c:pt>
                <c:pt idx="2">
                  <c:v>Data Science</c:v>
                </c:pt>
                <c:pt idx="3">
                  <c:v>Electronics</c:v>
                </c:pt>
                <c:pt idx="4">
                  <c:v>IT</c:v>
                </c:pt>
              </c:strCache>
            </c:strRef>
          </c:cat>
          <c:val>
            <c:numRef>
              <c:f>'PIVOT TABLE'!$B$44:$B$48</c:f>
              <c:numCache>
                <c:formatCode>#,##0</c:formatCode>
                <c:ptCount val="5"/>
                <c:pt idx="0">
                  <c:v>110</c:v>
                </c:pt>
                <c:pt idx="1">
                  <c:v>176</c:v>
                </c:pt>
                <c:pt idx="2">
                  <c:v>58</c:v>
                </c:pt>
                <c:pt idx="3">
                  <c:v>79</c:v>
                </c:pt>
                <c:pt idx="4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8-403C-BDE8-0DFAC7E520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Certifications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144780</xdr:rowOff>
    </xdr:from>
    <xdr:ext cx="6926580" cy="39547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99060</xdr:colOff>
      <xdr:row>0</xdr:row>
      <xdr:rowOff>175260</xdr:rowOff>
    </xdr:from>
    <xdr:ext cx="6385560" cy="3172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236220</xdr:colOff>
      <xdr:row>1</xdr:row>
      <xdr:rowOff>7620</xdr:rowOff>
    </xdr:from>
    <xdr:ext cx="4053840" cy="309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160020</xdr:colOff>
      <xdr:row>19</xdr:row>
      <xdr:rowOff>99060</xdr:rowOff>
    </xdr:from>
    <xdr:ext cx="6339840" cy="31341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236220</xdr:colOff>
      <xdr:row>19</xdr:row>
      <xdr:rowOff>137160</xdr:rowOff>
    </xdr:from>
    <xdr:ext cx="5940000" cy="309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39</xdr:row>
      <xdr:rowOff>0</xdr:rowOff>
    </xdr:from>
    <xdr:ext cx="5722620" cy="33147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10</xdr:col>
      <xdr:colOff>0</xdr:colOff>
      <xdr:row>39</xdr:row>
      <xdr:rowOff>0</xdr:rowOff>
    </xdr:from>
    <xdr:ext cx="5940000" cy="3096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58</xdr:row>
      <xdr:rowOff>0</xdr:rowOff>
    </xdr:from>
    <xdr:ext cx="5940000" cy="3096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10</xdr:col>
      <xdr:colOff>0</xdr:colOff>
      <xdr:row>58</xdr:row>
      <xdr:rowOff>0</xdr:rowOff>
    </xdr:from>
    <xdr:ext cx="5940000" cy="3096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77</xdr:row>
      <xdr:rowOff>0</xdr:rowOff>
    </xdr:from>
    <xdr:ext cx="5940000" cy="3096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10</xdr:col>
      <xdr:colOff>0</xdr:colOff>
      <xdr:row>77</xdr:row>
      <xdr:rowOff>0</xdr:rowOff>
    </xdr:from>
    <xdr:ext cx="5940000" cy="3096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251">
  <autoFilter ref="A1:W251" xr:uid="{00000000-0009-0000-0100-000001000000}"/>
  <tableColumns count="23">
    <tableColumn id="1" xr3:uid="{00000000-0010-0000-0000-000001000000}" name="Student_ID"/>
    <tableColumn id="2" xr3:uid="{00000000-0010-0000-0000-000002000000}" name="Student_Name"/>
    <tableColumn id="3" xr3:uid="{00000000-0010-0000-0000-000003000000}" name="Department"/>
    <tableColumn id="4" xr3:uid="{00000000-0010-0000-0000-000004000000}" name="Gender"/>
    <tableColumn id="5" xr3:uid="{00000000-0010-0000-0000-000005000000}" name="Semester"/>
    <tableColumn id="6" xr3:uid="{00000000-0010-0000-0000-000006000000}" name="Attendance_%"/>
    <tableColumn id="7" xr3:uid="{00000000-0010-0000-0000-000007000000}" name="Study_Hours"/>
    <tableColumn id="8" xr3:uid="{00000000-0010-0000-0000-000008000000}" name="Assignment_Score"/>
    <tableColumn id="9" xr3:uid="{00000000-0010-0000-0000-000009000000}" name="Midterm_Score"/>
    <tableColumn id="10" xr3:uid="{00000000-0010-0000-0000-00000A000000}" name="Final_Exam_Score"/>
    <tableColumn id="11" xr3:uid="{00000000-0010-0000-0000-00000B000000}" name="Projects_Completed"/>
    <tableColumn id="12" xr3:uid="{00000000-0010-0000-0000-00000C000000}" name="Certifications"/>
    <tableColumn id="13" xr3:uid="{00000000-0010-0000-0000-00000D000000}" name="Backlogs"/>
    <tableColumn id="14" xr3:uid="{00000000-0010-0000-0000-00000E000000}" name="Internship"/>
    <tableColumn id="15" xr3:uid="{00000000-0010-0000-0000-00000F000000}" name="Monthly_Stipend"/>
    <tableColumn id="16" xr3:uid="{00000000-0010-0000-0000-000010000000}" name="Placement_Status"/>
    <tableColumn id="17" xr3:uid="{00000000-0010-0000-0000-000011000000}" name="Overall_Score"/>
    <tableColumn id="18" xr3:uid="{00000000-0010-0000-0000-000012000000}" name="GRADE"/>
    <tableColumn id="19" xr3:uid="{00000000-0010-0000-0000-000013000000}" name="PLACED FLAG"/>
    <tableColumn id="20" xr3:uid="{00000000-0010-0000-0000-000014000000}" name="AVG EXAM SCORE"/>
    <tableColumn id="21" xr3:uid="{00000000-0010-0000-0000-000015000000}" name="RANK"/>
    <tableColumn id="22" xr3:uid="{00000000-0010-0000-0000-000016000000}" name="UPPER_CASE"/>
    <tableColumn id="23" xr3:uid="{00000000-0010-0000-0000-000017000000}" name="STUDENT N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1"/>
  <sheetViews>
    <sheetView topLeftCell="J1" zoomScale="69" workbookViewId="0">
      <pane ySplit="1" topLeftCell="A2" activePane="bottomLeft" state="frozen"/>
      <selection pane="bottomLeft" activeCell="Z23" sqref="Z23"/>
    </sheetView>
  </sheetViews>
  <sheetFormatPr defaultRowHeight="14.4" x14ac:dyDescent="0.3"/>
  <cols>
    <col min="1" max="1" width="11" customWidth="1"/>
    <col min="2" max="2" width="14" customWidth="1"/>
    <col min="3" max="3" width="21" customWidth="1"/>
    <col min="4" max="4" width="9" customWidth="1"/>
    <col min="5" max="5" width="10" customWidth="1"/>
    <col min="6" max="6" width="13" customWidth="1"/>
    <col min="7" max="7" width="12" customWidth="1"/>
    <col min="8" max="8" width="16" customWidth="1"/>
    <col min="9" max="9" width="14" customWidth="1"/>
    <col min="10" max="10" width="17" customWidth="1"/>
    <col min="11" max="11" width="18" customWidth="1"/>
    <col min="12" max="12" width="14" customWidth="1"/>
    <col min="13" max="13" width="10" customWidth="1"/>
    <col min="14" max="14" width="11" customWidth="1"/>
    <col min="15" max="15" width="16" customWidth="1"/>
    <col min="16" max="16" width="17" customWidth="1"/>
    <col min="17" max="17" width="14" customWidth="1"/>
    <col min="18" max="18" width="14.44140625" customWidth="1"/>
    <col min="19" max="19" width="13" customWidth="1"/>
    <col min="20" max="20" width="20.21875" customWidth="1"/>
    <col min="21" max="21" width="12" customWidth="1"/>
    <col min="22" max="22" width="16.5546875" customWidth="1"/>
    <col min="23" max="23" width="13.3320312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 s="3" t="s">
        <v>23</v>
      </c>
      <c r="B2" s="3" t="s">
        <v>24</v>
      </c>
      <c r="C2" s="3" t="s">
        <v>25</v>
      </c>
      <c r="D2" s="3" t="s">
        <v>26</v>
      </c>
      <c r="E2" s="3">
        <v>6</v>
      </c>
      <c r="F2" s="4">
        <v>76.400000000000006</v>
      </c>
      <c r="G2" s="4">
        <v>1.9</v>
      </c>
      <c r="H2" s="4">
        <v>100</v>
      </c>
      <c r="I2" s="4">
        <v>76.400000000000006</v>
      </c>
      <c r="J2" s="4">
        <v>74.900000000000006</v>
      </c>
      <c r="K2" s="3">
        <v>2</v>
      </c>
      <c r="L2" s="3">
        <v>1</v>
      </c>
      <c r="M2" s="3">
        <v>0</v>
      </c>
      <c r="N2" s="3" t="s">
        <v>27</v>
      </c>
      <c r="O2" s="5">
        <v>0</v>
      </c>
      <c r="P2" s="3" t="s">
        <v>28</v>
      </c>
      <c r="Q2" s="6">
        <v>80.37</v>
      </c>
      <c r="R2" s="7" t="str">
        <f>IF(Q2&gt;=KPI!$E$4,"A",IF(Q2&gt;=KPI!$E$5,"B",IF(Q2&gt;=KPI!$E$6,"C",IF(Q2&gt;=KPI!$E$7,"D","F"))))</f>
        <v>B</v>
      </c>
      <c r="S2" s="7">
        <f t="shared" ref="S2:S65" si="0">IF(P2="Placed",1,0)</f>
        <v>1</v>
      </c>
      <c r="T2" s="6">
        <f t="shared" ref="T2:T65" si="1">IFERROR(AVERAGE(I2:J2),0)</f>
        <v>75.650000000000006</v>
      </c>
      <c r="U2" s="7">
        <f>RANK(Q2,$Q$2:$Q$251,0)+COUNTIF($Q$2:Q2,Q2)-1</f>
        <v>79</v>
      </c>
      <c r="V2" s="3" t="str">
        <f t="shared" ref="V2:V65" si="2">UPPER(B2)</f>
        <v>STUDENT_001</v>
      </c>
      <c r="W2" s="3" t="str">
        <f t="shared" ref="W2:W65" si="3">IFERROR(MID(B2,FIND("_",B2)+1,LEN(B2)),B2)</f>
        <v>001</v>
      </c>
    </row>
    <row r="3" spans="1:23" x14ac:dyDescent="0.3">
      <c r="A3" s="3" t="s">
        <v>29</v>
      </c>
      <c r="B3" s="3" t="s">
        <v>30</v>
      </c>
      <c r="C3" s="3" t="s">
        <v>31</v>
      </c>
      <c r="D3" s="3" t="s">
        <v>26</v>
      </c>
      <c r="E3" s="3">
        <v>7</v>
      </c>
      <c r="F3" s="4">
        <v>62.3</v>
      </c>
      <c r="G3" s="4">
        <v>5.8</v>
      </c>
      <c r="H3" s="4">
        <v>69.599999999999994</v>
      </c>
      <c r="I3" s="4">
        <v>72</v>
      </c>
      <c r="J3" s="4">
        <v>66.099999999999994</v>
      </c>
      <c r="K3" s="3">
        <v>2</v>
      </c>
      <c r="L3" s="3">
        <v>0</v>
      </c>
      <c r="M3" s="3">
        <v>0</v>
      </c>
      <c r="N3" s="3" t="s">
        <v>27</v>
      </c>
      <c r="O3" s="5">
        <v>0</v>
      </c>
      <c r="P3" s="3" t="s">
        <v>32</v>
      </c>
      <c r="Q3" s="6">
        <v>68.569999999999993</v>
      </c>
      <c r="R3" s="7" t="str">
        <f>IF(Q3&gt;=KPI!$E$4,"A",IF(Q3&gt;=KPI!$E$5,"B",IF(Q3&gt;=KPI!$E$6,"C",IF(Q3&gt;=KPI!$E$7,"D","F"))))</f>
        <v>C</v>
      </c>
      <c r="S3" s="7">
        <f t="shared" si="0"/>
        <v>0</v>
      </c>
      <c r="T3" s="6">
        <f t="shared" si="1"/>
        <v>69.05</v>
      </c>
      <c r="U3" s="7">
        <f>RANK(Q3,$Q$2:$Q$251,0)+COUNTIF($Q$2:Q3,Q3)-1</f>
        <v>197</v>
      </c>
      <c r="V3" s="3" t="str">
        <f t="shared" si="2"/>
        <v>STUDENT_002</v>
      </c>
      <c r="W3" s="3" t="str">
        <f t="shared" si="3"/>
        <v>002</v>
      </c>
    </row>
    <row r="4" spans="1:23" x14ac:dyDescent="0.3">
      <c r="A4" s="3" t="s">
        <v>33</v>
      </c>
      <c r="B4" s="3" t="s">
        <v>34</v>
      </c>
      <c r="C4" s="3" t="s">
        <v>35</v>
      </c>
      <c r="D4" s="3" t="s">
        <v>36</v>
      </c>
      <c r="E4" s="3">
        <v>1</v>
      </c>
      <c r="F4" s="4">
        <v>89.7</v>
      </c>
      <c r="G4" s="4">
        <v>8.4</v>
      </c>
      <c r="H4" s="4">
        <v>89.3</v>
      </c>
      <c r="I4" s="4">
        <v>77.8</v>
      </c>
      <c r="J4" s="4">
        <v>94</v>
      </c>
      <c r="K4" s="3">
        <v>5</v>
      </c>
      <c r="L4" s="3">
        <v>0</v>
      </c>
      <c r="M4" s="3">
        <v>2</v>
      </c>
      <c r="N4" s="3" t="s">
        <v>37</v>
      </c>
      <c r="O4" s="5">
        <v>12345</v>
      </c>
      <c r="P4" s="3" t="s">
        <v>32</v>
      </c>
      <c r="Q4" s="6">
        <v>88.2</v>
      </c>
      <c r="R4" s="7" t="str">
        <f>IF(Q4&gt;=KPI!$E$4,"A",IF(Q4&gt;=KPI!$E$5,"B",IF(Q4&gt;=KPI!$E$6,"C",IF(Q4&gt;=KPI!$E$7,"D","F"))))</f>
        <v>A</v>
      </c>
      <c r="S4" s="7">
        <f t="shared" si="0"/>
        <v>0</v>
      </c>
      <c r="T4" s="6">
        <f t="shared" si="1"/>
        <v>85.9</v>
      </c>
      <c r="U4" s="7">
        <f>RANK(Q4,$Q$2:$Q$251,0)+COUNTIF($Q$2:Q4,Q4)-1</f>
        <v>14</v>
      </c>
      <c r="V4" s="3" t="str">
        <f t="shared" si="2"/>
        <v>STUDENT_003</v>
      </c>
      <c r="W4" s="3" t="str">
        <f t="shared" si="3"/>
        <v>003</v>
      </c>
    </row>
    <row r="5" spans="1:23" x14ac:dyDescent="0.3">
      <c r="A5" s="3" t="s">
        <v>38</v>
      </c>
      <c r="B5" s="3" t="s">
        <v>39</v>
      </c>
      <c r="C5" s="3" t="s">
        <v>40</v>
      </c>
      <c r="D5" s="3" t="s">
        <v>26</v>
      </c>
      <c r="E5" s="3">
        <v>1</v>
      </c>
      <c r="F5" s="4">
        <v>73.099999999999994</v>
      </c>
      <c r="G5" s="4">
        <v>6.1</v>
      </c>
      <c r="H5" s="4">
        <v>61.8</v>
      </c>
      <c r="I5" s="4">
        <v>61.2</v>
      </c>
      <c r="J5" s="4">
        <v>80</v>
      </c>
      <c r="K5" s="3">
        <v>5</v>
      </c>
      <c r="L5" s="3">
        <v>3</v>
      </c>
      <c r="M5" s="3">
        <v>1</v>
      </c>
      <c r="N5" s="3" t="s">
        <v>27</v>
      </c>
      <c r="O5" s="5">
        <v>0</v>
      </c>
      <c r="P5" s="3" t="s">
        <v>28</v>
      </c>
      <c r="Q5" s="6">
        <v>70.72</v>
      </c>
      <c r="R5" s="7" t="str">
        <f>IF(Q5&gt;=KPI!$E$4,"A",IF(Q5&gt;=KPI!$E$5,"B",IF(Q5&gt;=KPI!$E$6,"C",IF(Q5&gt;=KPI!$E$7,"D","F"))))</f>
        <v>C</v>
      </c>
      <c r="S5" s="7">
        <f t="shared" si="0"/>
        <v>1</v>
      </c>
      <c r="T5" s="6">
        <f t="shared" si="1"/>
        <v>70.599999999999994</v>
      </c>
      <c r="U5" s="7">
        <f>RANK(Q5,$Q$2:$Q$251,0)+COUNTIF($Q$2:Q5,Q5)-1</f>
        <v>179</v>
      </c>
      <c r="V5" s="3" t="str">
        <f t="shared" si="2"/>
        <v>STUDENT_004</v>
      </c>
      <c r="W5" s="3" t="str">
        <f t="shared" si="3"/>
        <v>004</v>
      </c>
    </row>
    <row r="6" spans="1:23" x14ac:dyDescent="0.3">
      <c r="A6" s="3" t="s">
        <v>41</v>
      </c>
      <c r="B6" s="3" t="s">
        <v>42</v>
      </c>
      <c r="C6" s="3" t="s">
        <v>43</v>
      </c>
      <c r="D6" s="3" t="s">
        <v>26</v>
      </c>
      <c r="E6" s="3">
        <v>1</v>
      </c>
      <c r="F6" s="4"/>
      <c r="G6" s="4">
        <v>4</v>
      </c>
      <c r="H6" s="4">
        <v>80.8</v>
      </c>
      <c r="I6" s="4">
        <v>51.9</v>
      </c>
      <c r="J6" s="4">
        <v>57.9</v>
      </c>
      <c r="K6" s="3">
        <v>2</v>
      </c>
      <c r="L6" s="3">
        <v>2</v>
      </c>
      <c r="M6" s="3">
        <v>0</v>
      </c>
      <c r="N6" s="3" t="s">
        <v>27</v>
      </c>
      <c r="O6" s="5">
        <v>0</v>
      </c>
      <c r="P6" s="3" t="s">
        <v>28</v>
      </c>
      <c r="Q6" s="6">
        <v>60.68</v>
      </c>
      <c r="R6" s="7" t="str">
        <f>IF(Q6&gt;=KPI!$E$4,"A",IF(Q6&gt;=KPI!$E$5,"B",IF(Q6&gt;=KPI!$E$6,"C",IF(Q6&gt;=KPI!$E$7,"D","F"))))</f>
        <v>D</v>
      </c>
      <c r="S6" s="7">
        <f t="shared" si="0"/>
        <v>1</v>
      </c>
      <c r="T6" s="6">
        <f t="shared" si="1"/>
        <v>54.9</v>
      </c>
      <c r="U6" s="7">
        <f>RANK(Q6,$Q$2:$Q$251,0)+COUNTIF($Q$2:Q6,Q6)-1</f>
        <v>239</v>
      </c>
      <c r="V6" s="3" t="str">
        <f t="shared" si="2"/>
        <v>STUDENT_005</v>
      </c>
      <c r="W6" s="3" t="str">
        <f t="shared" si="3"/>
        <v>005</v>
      </c>
    </row>
    <row r="7" spans="1:23" x14ac:dyDescent="0.3">
      <c r="A7" s="3" t="s">
        <v>44</v>
      </c>
      <c r="B7" s="3" t="s">
        <v>45</v>
      </c>
      <c r="C7" s="3" t="s">
        <v>43</v>
      </c>
      <c r="D7" s="3" t="s">
        <v>36</v>
      </c>
      <c r="E7" s="3">
        <v>5</v>
      </c>
      <c r="F7" s="4">
        <v>90.7</v>
      </c>
      <c r="G7" s="4">
        <v>5.7</v>
      </c>
      <c r="H7" s="4">
        <v>82.2</v>
      </c>
      <c r="I7" s="4">
        <v>45.2</v>
      </c>
      <c r="J7" s="4">
        <v>62.7</v>
      </c>
      <c r="K7" s="3">
        <v>3</v>
      </c>
      <c r="L7" s="3">
        <v>2</v>
      </c>
      <c r="M7" s="3">
        <v>2</v>
      </c>
      <c r="N7" s="3" t="s">
        <v>37</v>
      </c>
      <c r="O7" s="5">
        <v>15558</v>
      </c>
      <c r="P7" s="3" t="s">
        <v>32</v>
      </c>
      <c r="Q7" s="6">
        <v>61.35</v>
      </c>
      <c r="R7" s="7" t="str">
        <f>IF(Q7&gt;=KPI!$E$4,"A",IF(Q7&gt;=KPI!$E$5,"B",IF(Q7&gt;=KPI!$E$6,"C",IF(Q7&gt;=KPI!$E$7,"D","F"))))</f>
        <v>D</v>
      </c>
      <c r="S7" s="7">
        <f t="shared" si="0"/>
        <v>0</v>
      </c>
      <c r="T7" s="6">
        <f t="shared" si="1"/>
        <v>53.95</v>
      </c>
      <c r="U7" s="7">
        <f>RANK(Q7,$Q$2:$Q$251,0)+COUNTIF($Q$2:Q7,Q7)-1</f>
        <v>235</v>
      </c>
      <c r="V7" s="3" t="str">
        <f t="shared" si="2"/>
        <v>STUDENT_006</v>
      </c>
      <c r="W7" s="3" t="str">
        <f t="shared" si="3"/>
        <v>006</v>
      </c>
    </row>
    <row r="8" spans="1:23" x14ac:dyDescent="0.3">
      <c r="A8" s="3" t="s">
        <v>46</v>
      </c>
      <c r="B8" s="3" t="s">
        <v>47</v>
      </c>
      <c r="C8" s="3" t="s">
        <v>43</v>
      </c>
      <c r="D8" s="3" t="s">
        <v>36</v>
      </c>
      <c r="E8" s="3">
        <v>4</v>
      </c>
      <c r="F8" s="4">
        <v>73.2</v>
      </c>
      <c r="G8" s="4">
        <v>7.7</v>
      </c>
      <c r="H8" s="4">
        <v>75.7</v>
      </c>
      <c r="I8" s="4">
        <v>85.7</v>
      </c>
      <c r="J8" s="4">
        <v>84.4</v>
      </c>
      <c r="K8" s="3">
        <v>0</v>
      </c>
      <c r="L8" s="3">
        <v>0</v>
      </c>
      <c r="M8" s="3">
        <v>0</v>
      </c>
      <c r="N8" s="3" t="s">
        <v>37</v>
      </c>
      <c r="O8" s="5">
        <v>16506</v>
      </c>
      <c r="P8" s="3" t="s">
        <v>32</v>
      </c>
      <c r="Q8" s="6">
        <v>83.05</v>
      </c>
      <c r="R8" s="7" t="str">
        <f>IF(Q8&gt;=KPI!$E$4,"A",IF(Q8&gt;=KPI!$E$5,"B",IF(Q8&gt;=KPI!$E$6,"C",IF(Q8&gt;=KPI!$E$7,"D","F"))))</f>
        <v>B</v>
      </c>
      <c r="S8" s="7">
        <f t="shared" si="0"/>
        <v>0</v>
      </c>
      <c r="T8" s="6">
        <f t="shared" si="1"/>
        <v>85.050000000000011</v>
      </c>
      <c r="U8" s="7">
        <f>RANK(Q8,$Q$2:$Q$251,0)+COUNTIF($Q$2:Q8,Q8)-1</f>
        <v>56</v>
      </c>
      <c r="V8" s="3" t="str">
        <f t="shared" si="2"/>
        <v>STUDENT_007</v>
      </c>
      <c r="W8" s="3" t="str">
        <f t="shared" si="3"/>
        <v>007</v>
      </c>
    </row>
    <row r="9" spans="1:23" x14ac:dyDescent="0.3">
      <c r="A9" s="3" t="s">
        <v>48</v>
      </c>
      <c r="B9" s="3" t="s">
        <v>49</v>
      </c>
      <c r="C9" s="3" t="s">
        <v>31</v>
      </c>
      <c r="D9" s="3" t="s">
        <v>36</v>
      </c>
      <c r="E9" s="3">
        <v>5</v>
      </c>
      <c r="F9" s="4">
        <v>82.7</v>
      </c>
      <c r="G9" s="4">
        <v>7.6</v>
      </c>
      <c r="H9" s="4">
        <v>68.599999999999994</v>
      </c>
      <c r="I9" s="4">
        <v>87.5</v>
      </c>
      <c r="J9" s="4">
        <v>82.5</v>
      </c>
      <c r="K9" s="3">
        <v>0</v>
      </c>
      <c r="L9" s="3">
        <v>4</v>
      </c>
      <c r="M9" s="3">
        <v>0</v>
      </c>
      <c r="N9" s="3" t="s">
        <v>27</v>
      </c>
      <c r="O9" s="5">
        <v>0</v>
      </c>
      <c r="P9" s="3" t="s">
        <v>32</v>
      </c>
      <c r="Q9" s="6">
        <v>81.22</v>
      </c>
      <c r="R9" s="7" t="str">
        <f>IF(Q9&gt;=KPI!$E$4,"A",IF(Q9&gt;=KPI!$E$5,"B",IF(Q9&gt;=KPI!$E$6,"C",IF(Q9&gt;=KPI!$E$7,"D","F"))))</f>
        <v>B</v>
      </c>
      <c r="S9" s="7">
        <f t="shared" si="0"/>
        <v>0</v>
      </c>
      <c r="T9" s="6">
        <f t="shared" si="1"/>
        <v>85</v>
      </c>
      <c r="U9" s="7">
        <f>RANK(Q9,$Q$2:$Q$251,0)+COUNTIF($Q$2:Q9,Q9)-1</f>
        <v>69</v>
      </c>
      <c r="V9" s="3" t="str">
        <f t="shared" si="2"/>
        <v>STUDENT_008</v>
      </c>
      <c r="W9" s="3" t="str">
        <f t="shared" si="3"/>
        <v>008</v>
      </c>
    </row>
    <row r="10" spans="1:23" x14ac:dyDescent="0.3">
      <c r="A10" s="3" t="s">
        <v>50</v>
      </c>
      <c r="B10" s="3" t="s">
        <v>51</v>
      </c>
      <c r="C10" s="3" t="s">
        <v>40</v>
      </c>
      <c r="D10" s="3" t="s">
        <v>36</v>
      </c>
      <c r="E10" s="3">
        <v>4</v>
      </c>
      <c r="F10" s="4">
        <v>95.7</v>
      </c>
      <c r="G10" s="4">
        <v>3</v>
      </c>
      <c r="H10" s="4">
        <v>72.599999999999994</v>
      </c>
      <c r="I10" s="4">
        <v>76.2</v>
      </c>
      <c r="J10" s="4">
        <v>71.900000000000006</v>
      </c>
      <c r="K10" s="3">
        <v>5</v>
      </c>
      <c r="L10" s="3">
        <v>1</v>
      </c>
      <c r="M10" s="3">
        <v>0</v>
      </c>
      <c r="N10" s="3" t="s">
        <v>27</v>
      </c>
      <c r="O10" s="5">
        <v>0</v>
      </c>
      <c r="P10" s="3" t="s">
        <v>28</v>
      </c>
      <c r="Q10" s="6">
        <v>73.33</v>
      </c>
      <c r="R10" s="7" t="str">
        <f>IF(Q10&gt;=KPI!$E$4,"A",IF(Q10&gt;=KPI!$E$5,"B",IF(Q10&gt;=KPI!$E$6,"C",IF(Q10&gt;=KPI!$E$7,"D","F"))))</f>
        <v>C</v>
      </c>
      <c r="S10" s="7">
        <f t="shared" si="0"/>
        <v>1</v>
      </c>
      <c r="T10" s="6">
        <f t="shared" si="1"/>
        <v>74.050000000000011</v>
      </c>
      <c r="U10" s="7">
        <f>RANK(Q10,$Q$2:$Q$251,0)+COUNTIF($Q$2:Q10,Q10)-1</f>
        <v>148</v>
      </c>
      <c r="V10" s="3" t="str">
        <f t="shared" si="2"/>
        <v>STUDENT_009</v>
      </c>
      <c r="W10" s="3" t="str">
        <f t="shared" si="3"/>
        <v>009</v>
      </c>
    </row>
    <row r="11" spans="1:23" x14ac:dyDescent="0.3">
      <c r="A11" s="3" t="s">
        <v>52</v>
      </c>
      <c r="B11" s="3" t="s">
        <v>53</v>
      </c>
      <c r="C11" s="3" t="s">
        <v>35</v>
      </c>
      <c r="D11" s="3" t="s">
        <v>26</v>
      </c>
      <c r="E11" s="3">
        <v>8</v>
      </c>
      <c r="F11" s="4">
        <v>59.9</v>
      </c>
      <c r="G11" s="4">
        <v>5.7</v>
      </c>
      <c r="H11" s="4">
        <v>70.8</v>
      </c>
      <c r="I11" s="4">
        <v>64.5</v>
      </c>
      <c r="J11" s="4">
        <v>55.4</v>
      </c>
      <c r="K11" s="3">
        <v>1</v>
      </c>
      <c r="L11" s="3">
        <v>4</v>
      </c>
      <c r="M11" s="3">
        <v>1</v>
      </c>
      <c r="N11" s="3" t="s">
        <v>27</v>
      </c>
      <c r="O11" s="5">
        <v>0</v>
      </c>
      <c r="P11" s="3" t="s">
        <v>32</v>
      </c>
      <c r="Q11" s="6">
        <v>61.21</v>
      </c>
      <c r="R11" s="7" t="str">
        <f>IF(Q11&gt;=KPI!$E$4,"A",IF(Q11&gt;=KPI!$E$5,"B",IF(Q11&gt;=KPI!$E$6,"C",IF(Q11&gt;=KPI!$E$7,"D","F"))))</f>
        <v>D</v>
      </c>
      <c r="S11" s="7">
        <f t="shared" si="0"/>
        <v>0</v>
      </c>
      <c r="T11" s="6">
        <f t="shared" si="1"/>
        <v>59.95</v>
      </c>
      <c r="U11" s="7">
        <f>RANK(Q11,$Q$2:$Q$251,0)+COUNTIF($Q$2:Q11,Q11)-1</f>
        <v>237</v>
      </c>
      <c r="V11" s="3" t="str">
        <f t="shared" si="2"/>
        <v>STUDENT_010</v>
      </c>
      <c r="W11" s="3" t="str">
        <f t="shared" si="3"/>
        <v>010</v>
      </c>
    </row>
    <row r="12" spans="1:23" x14ac:dyDescent="0.3">
      <c r="A12" s="3" t="s">
        <v>54</v>
      </c>
      <c r="B12" s="3" t="s">
        <v>55</v>
      </c>
      <c r="C12" s="3" t="s">
        <v>43</v>
      </c>
      <c r="D12" s="3" t="s">
        <v>36</v>
      </c>
      <c r="E12" s="3">
        <v>5</v>
      </c>
      <c r="F12" s="4">
        <v>74.7</v>
      </c>
      <c r="G12" s="4">
        <v>4.5</v>
      </c>
      <c r="H12" s="4">
        <v>100</v>
      </c>
      <c r="I12" s="4">
        <v>49.3</v>
      </c>
      <c r="J12" s="4">
        <v>75.2</v>
      </c>
      <c r="K12" s="3">
        <v>5</v>
      </c>
      <c r="L12" s="3">
        <v>4</v>
      </c>
      <c r="M12" s="3">
        <v>1</v>
      </c>
      <c r="N12" s="3" t="s">
        <v>27</v>
      </c>
      <c r="O12" s="5">
        <v>0</v>
      </c>
      <c r="P12" s="3" t="s">
        <v>32</v>
      </c>
      <c r="Q12" s="6">
        <v>72.39</v>
      </c>
      <c r="R12" s="7" t="str">
        <f>IF(Q12&gt;=KPI!$E$4,"A",IF(Q12&gt;=KPI!$E$5,"B",IF(Q12&gt;=KPI!$E$6,"C",IF(Q12&gt;=KPI!$E$7,"D","F"))))</f>
        <v>C</v>
      </c>
      <c r="S12" s="7">
        <f t="shared" si="0"/>
        <v>0</v>
      </c>
      <c r="T12" s="6">
        <f t="shared" si="1"/>
        <v>62.25</v>
      </c>
      <c r="U12" s="7">
        <f>RANK(Q12,$Q$2:$Q$251,0)+COUNTIF($Q$2:Q12,Q12)-1</f>
        <v>158</v>
      </c>
      <c r="V12" s="3" t="str">
        <f t="shared" si="2"/>
        <v>STUDENT_011</v>
      </c>
      <c r="W12" s="3" t="str">
        <f t="shared" si="3"/>
        <v>011</v>
      </c>
    </row>
    <row r="13" spans="1:23" x14ac:dyDescent="0.3">
      <c r="A13" s="3" t="s">
        <v>56</v>
      </c>
      <c r="B13" s="3" t="s">
        <v>57</v>
      </c>
      <c r="C13" s="3" t="s">
        <v>31</v>
      </c>
      <c r="D13" s="3" t="s">
        <v>36</v>
      </c>
      <c r="E13" s="3">
        <v>5</v>
      </c>
      <c r="F13" s="4">
        <v>73.900000000000006</v>
      </c>
      <c r="G13" s="4">
        <v>6.3</v>
      </c>
      <c r="H13" s="4">
        <v>75.7</v>
      </c>
      <c r="I13" s="4">
        <v>79.900000000000006</v>
      </c>
      <c r="J13" s="4">
        <v>84.6</v>
      </c>
      <c r="K13" s="3">
        <v>5</v>
      </c>
      <c r="L13" s="3">
        <v>0</v>
      </c>
      <c r="M13" s="3">
        <v>0</v>
      </c>
      <c r="N13" s="3" t="s">
        <v>27</v>
      </c>
      <c r="O13" s="5">
        <v>0</v>
      </c>
      <c r="P13" s="3" t="s">
        <v>28</v>
      </c>
      <c r="Q13" s="6">
        <v>81.41</v>
      </c>
      <c r="R13" s="7" t="str">
        <f>IF(Q13&gt;=KPI!$E$4,"A",IF(Q13&gt;=KPI!$E$5,"B",IF(Q13&gt;=KPI!$E$6,"C",IF(Q13&gt;=KPI!$E$7,"D","F"))))</f>
        <v>B</v>
      </c>
      <c r="S13" s="7">
        <f t="shared" si="0"/>
        <v>1</v>
      </c>
      <c r="T13" s="6">
        <f t="shared" si="1"/>
        <v>82.25</v>
      </c>
      <c r="U13" s="7">
        <f>RANK(Q13,$Q$2:$Q$251,0)+COUNTIF($Q$2:Q13,Q13)-1</f>
        <v>67</v>
      </c>
      <c r="V13" s="3" t="str">
        <f t="shared" si="2"/>
        <v>STUDENT_012</v>
      </c>
      <c r="W13" s="3" t="str">
        <f t="shared" si="3"/>
        <v>012</v>
      </c>
    </row>
    <row r="14" spans="1:23" x14ac:dyDescent="0.3">
      <c r="A14" s="3" t="s">
        <v>58</v>
      </c>
      <c r="B14" s="3" t="s">
        <v>59</v>
      </c>
      <c r="C14" s="3" t="s">
        <v>35</v>
      </c>
      <c r="D14" s="3" t="s">
        <v>26</v>
      </c>
      <c r="E14" s="3">
        <v>6</v>
      </c>
      <c r="F14" s="4">
        <v>80.3</v>
      </c>
      <c r="G14" s="4">
        <v>5.5</v>
      </c>
      <c r="H14" s="4">
        <v>82.8</v>
      </c>
      <c r="I14" s="4">
        <v>56.6</v>
      </c>
      <c r="J14" s="4">
        <v>61.3</v>
      </c>
      <c r="K14" s="3">
        <v>0</v>
      </c>
      <c r="L14" s="3">
        <v>0</v>
      </c>
      <c r="M14" s="3">
        <v>2</v>
      </c>
      <c r="N14" s="3" t="s">
        <v>27</v>
      </c>
      <c r="O14" s="5">
        <v>0</v>
      </c>
      <c r="P14" s="3" t="s">
        <v>32</v>
      </c>
      <c r="Q14" s="6">
        <v>64.19</v>
      </c>
      <c r="R14" s="7" t="str">
        <f>IF(Q14&gt;=KPI!$E$4,"A",IF(Q14&gt;=KPI!$E$5,"B",IF(Q14&gt;=KPI!$E$6,"C",IF(Q14&gt;=KPI!$E$7,"D","F"))))</f>
        <v>D</v>
      </c>
      <c r="S14" s="7">
        <f t="shared" si="0"/>
        <v>0</v>
      </c>
      <c r="T14" s="6">
        <f t="shared" si="1"/>
        <v>58.95</v>
      </c>
      <c r="U14" s="7">
        <f>RANK(Q14,$Q$2:$Q$251,0)+COUNTIF($Q$2:Q14,Q14)-1</f>
        <v>222</v>
      </c>
      <c r="V14" s="3" t="str">
        <f t="shared" si="2"/>
        <v>STUDENT_013</v>
      </c>
      <c r="W14" s="3" t="str">
        <f t="shared" si="3"/>
        <v>013</v>
      </c>
    </row>
    <row r="15" spans="1:23" x14ac:dyDescent="0.3">
      <c r="A15" s="3" t="s">
        <v>60</v>
      </c>
      <c r="B15" s="3" t="s">
        <v>61</v>
      </c>
      <c r="C15" s="3" t="s">
        <v>43</v>
      </c>
      <c r="D15" s="3" t="s">
        <v>36</v>
      </c>
      <c r="E15" s="3">
        <v>3</v>
      </c>
      <c r="F15" s="4">
        <v>81.599999999999994</v>
      </c>
      <c r="G15" s="4">
        <v>1</v>
      </c>
      <c r="H15" s="4">
        <v>99.2</v>
      </c>
      <c r="I15" s="4">
        <v>62</v>
      </c>
      <c r="J15" s="4">
        <v>81.2</v>
      </c>
      <c r="K15" s="3">
        <v>2</v>
      </c>
      <c r="L15" s="3">
        <v>0</v>
      </c>
      <c r="M15" s="3">
        <v>0</v>
      </c>
      <c r="N15" s="3" t="s">
        <v>27</v>
      </c>
      <c r="O15" s="5">
        <v>0</v>
      </c>
      <c r="P15" s="3" t="s">
        <v>28</v>
      </c>
      <c r="Q15" s="6">
        <v>79.040000000000006</v>
      </c>
      <c r="R15" s="7" t="str">
        <f>IF(Q15&gt;=KPI!$E$4,"A",IF(Q15&gt;=KPI!$E$5,"B",IF(Q15&gt;=KPI!$E$6,"C",IF(Q15&gt;=KPI!$E$7,"D","F"))))</f>
        <v>B</v>
      </c>
      <c r="S15" s="7">
        <f t="shared" si="0"/>
        <v>1</v>
      </c>
      <c r="T15" s="6">
        <f t="shared" si="1"/>
        <v>71.599999999999994</v>
      </c>
      <c r="U15" s="7">
        <f>RANK(Q15,$Q$2:$Q$251,0)+COUNTIF($Q$2:Q15,Q15)-1</f>
        <v>92</v>
      </c>
      <c r="V15" s="3" t="str">
        <f t="shared" si="2"/>
        <v>STUDENT_014</v>
      </c>
      <c r="W15" s="3" t="str">
        <f t="shared" si="3"/>
        <v>014</v>
      </c>
    </row>
    <row r="16" spans="1:23" x14ac:dyDescent="0.3">
      <c r="A16" s="3" t="s">
        <v>62</v>
      </c>
      <c r="B16" s="3" t="s">
        <v>63</v>
      </c>
      <c r="C16" s="3" t="s">
        <v>43</v>
      </c>
      <c r="D16" s="3" t="s">
        <v>36</v>
      </c>
      <c r="E16" s="3">
        <v>5</v>
      </c>
      <c r="F16" s="4">
        <v>72.400000000000006</v>
      </c>
      <c r="G16" s="4">
        <v>4.2</v>
      </c>
      <c r="H16" s="4">
        <v>64.599999999999994</v>
      </c>
      <c r="I16" s="4">
        <v>63.8</v>
      </c>
      <c r="J16" s="4">
        <v>79.5</v>
      </c>
      <c r="K16" s="3">
        <v>5</v>
      </c>
      <c r="L16" s="3">
        <v>3</v>
      </c>
      <c r="M16" s="3">
        <v>0</v>
      </c>
      <c r="N16" s="3" t="s">
        <v>27</v>
      </c>
      <c r="O16" s="5">
        <v>0</v>
      </c>
      <c r="P16" s="3" t="s">
        <v>32</v>
      </c>
      <c r="Q16" s="6">
        <v>71.81</v>
      </c>
      <c r="R16" s="7" t="str">
        <f>IF(Q16&gt;=KPI!$E$4,"A",IF(Q16&gt;=KPI!$E$5,"B",IF(Q16&gt;=KPI!$E$6,"C",IF(Q16&gt;=KPI!$E$7,"D","F"))))</f>
        <v>C</v>
      </c>
      <c r="S16" s="7">
        <f t="shared" si="0"/>
        <v>0</v>
      </c>
      <c r="T16" s="6">
        <f t="shared" si="1"/>
        <v>71.650000000000006</v>
      </c>
      <c r="U16" s="7">
        <f>RANK(Q16,$Q$2:$Q$251,0)+COUNTIF($Q$2:Q16,Q16)-1</f>
        <v>163</v>
      </c>
      <c r="V16" s="3" t="str">
        <f t="shared" si="2"/>
        <v>STUDENT_015</v>
      </c>
      <c r="W16" s="3" t="str">
        <f t="shared" si="3"/>
        <v>015</v>
      </c>
    </row>
    <row r="17" spans="1:23" x14ac:dyDescent="0.3">
      <c r="A17" s="3" t="s">
        <v>64</v>
      </c>
      <c r="B17" s="3" t="s">
        <v>65</v>
      </c>
      <c r="C17" s="3" t="s">
        <v>43</v>
      </c>
      <c r="D17" s="3" t="s">
        <v>36</v>
      </c>
      <c r="E17" s="3">
        <v>6</v>
      </c>
      <c r="F17" s="4">
        <v>76.099999999999994</v>
      </c>
      <c r="G17" s="4">
        <v>5.2</v>
      </c>
      <c r="H17" s="4">
        <v>76.5</v>
      </c>
      <c r="I17" s="4">
        <v>69.2</v>
      </c>
      <c r="J17" s="4">
        <v>70.599999999999994</v>
      </c>
      <c r="K17" s="3">
        <v>2</v>
      </c>
      <c r="L17" s="3">
        <v>4</v>
      </c>
      <c r="M17" s="3">
        <v>0</v>
      </c>
      <c r="N17" s="3" t="s">
        <v>37</v>
      </c>
      <c r="O17" s="5">
        <v>16690</v>
      </c>
      <c r="P17" s="3" t="s">
        <v>32</v>
      </c>
      <c r="Q17" s="6">
        <v>71.36</v>
      </c>
      <c r="R17" s="7" t="str">
        <f>IF(Q17&gt;=KPI!$E$4,"A",IF(Q17&gt;=KPI!$E$5,"B",IF(Q17&gt;=KPI!$E$6,"C",IF(Q17&gt;=KPI!$E$7,"D","F"))))</f>
        <v>C</v>
      </c>
      <c r="S17" s="7">
        <f t="shared" si="0"/>
        <v>0</v>
      </c>
      <c r="T17" s="6">
        <f t="shared" si="1"/>
        <v>69.900000000000006</v>
      </c>
      <c r="U17" s="7">
        <f>RANK(Q17,$Q$2:$Q$251,0)+COUNTIF($Q$2:Q17,Q17)-1</f>
        <v>170</v>
      </c>
      <c r="V17" s="3" t="str">
        <f t="shared" si="2"/>
        <v>STUDENT_016</v>
      </c>
      <c r="W17" s="3" t="str">
        <f t="shared" si="3"/>
        <v>016</v>
      </c>
    </row>
    <row r="18" spans="1:23" x14ac:dyDescent="0.3">
      <c r="A18" s="3" t="s">
        <v>66</v>
      </c>
      <c r="B18" s="3" t="s">
        <v>67</v>
      </c>
      <c r="C18" s="3" t="s">
        <v>25</v>
      </c>
      <c r="D18" s="3" t="s">
        <v>36</v>
      </c>
      <c r="E18" s="3">
        <v>2</v>
      </c>
      <c r="F18" s="4">
        <v>75</v>
      </c>
      <c r="G18" s="4">
        <v>2.2000000000000002</v>
      </c>
      <c r="H18" s="4">
        <v>72.5</v>
      </c>
      <c r="I18" s="4">
        <v>61.4</v>
      </c>
      <c r="J18" s="4">
        <v>73.3</v>
      </c>
      <c r="K18" s="3">
        <v>2</v>
      </c>
      <c r="L18" s="3">
        <v>2</v>
      </c>
      <c r="M18" s="3">
        <v>0</v>
      </c>
      <c r="N18" s="3" t="s">
        <v>27</v>
      </c>
      <c r="O18" s="5">
        <v>0</v>
      </c>
      <c r="P18" s="3" t="s">
        <v>28</v>
      </c>
      <c r="Q18" s="6">
        <v>69.569999999999993</v>
      </c>
      <c r="R18" s="7" t="str">
        <f>IF(Q18&gt;=KPI!$E$4,"A",IF(Q18&gt;=KPI!$E$5,"B",IF(Q18&gt;=KPI!$E$6,"C",IF(Q18&gt;=KPI!$E$7,"D","F"))))</f>
        <v>C</v>
      </c>
      <c r="S18" s="7">
        <f t="shared" si="0"/>
        <v>1</v>
      </c>
      <c r="T18" s="6">
        <f t="shared" si="1"/>
        <v>67.349999999999994</v>
      </c>
      <c r="U18" s="7">
        <f>RANK(Q18,$Q$2:$Q$251,0)+COUNTIF($Q$2:Q18,Q18)-1</f>
        <v>194</v>
      </c>
      <c r="V18" s="3" t="str">
        <f t="shared" si="2"/>
        <v>STUDENT_017</v>
      </c>
      <c r="W18" s="3" t="str">
        <f t="shared" si="3"/>
        <v>017</v>
      </c>
    </row>
    <row r="19" spans="1:23" x14ac:dyDescent="0.3">
      <c r="A19" s="3" t="s">
        <v>68</v>
      </c>
      <c r="B19" s="3" t="s">
        <v>69</v>
      </c>
      <c r="C19" s="3" t="s">
        <v>40</v>
      </c>
      <c r="D19" s="3" t="s">
        <v>36</v>
      </c>
      <c r="E19" s="3">
        <v>3</v>
      </c>
      <c r="F19" s="4">
        <v>78.8</v>
      </c>
      <c r="G19" s="4">
        <v>5.8</v>
      </c>
      <c r="H19" s="4">
        <v>74.900000000000006</v>
      </c>
      <c r="I19" s="4">
        <v>72.5</v>
      </c>
      <c r="J19" s="4">
        <v>74.7</v>
      </c>
      <c r="K19" s="3">
        <v>1</v>
      </c>
      <c r="L19" s="3">
        <v>1</v>
      </c>
      <c r="M19" s="3">
        <v>0</v>
      </c>
      <c r="N19" s="3" t="s">
        <v>27</v>
      </c>
      <c r="O19" s="5">
        <v>0</v>
      </c>
      <c r="P19" s="3" t="s">
        <v>28</v>
      </c>
      <c r="Q19" s="6">
        <v>74.08</v>
      </c>
      <c r="R19" s="7" t="str">
        <f>IF(Q19&gt;=KPI!$E$4,"A",IF(Q19&gt;=KPI!$E$5,"B",IF(Q19&gt;=KPI!$E$6,"C",IF(Q19&gt;=KPI!$E$7,"D","F"))))</f>
        <v>C</v>
      </c>
      <c r="S19" s="7">
        <f t="shared" si="0"/>
        <v>1</v>
      </c>
      <c r="T19" s="6">
        <f t="shared" si="1"/>
        <v>73.599999999999994</v>
      </c>
      <c r="U19" s="7">
        <f>RANK(Q19,$Q$2:$Q$251,0)+COUNTIF($Q$2:Q19,Q19)-1</f>
        <v>143</v>
      </c>
      <c r="V19" s="3" t="str">
        <f t="shared" si="2"/>
        <v>STUDENT_018</v>
      </c>
      <c r="W19" s="3" t="str">
        <f t="shared" si="3"/>
        <v>018</v>
      </c>
    </row>
    <row r="20" spans="1:23" x14ac:dyDescent="0.3">
      <c r="A20" s="3" t="s">
        <v>70</v>
      </c>
      <c r="B20" s="3" t="s">
        <v>71</v>
      </c>
      <c r="C20" s="3" t="s">
        <v>25</v>
      </c>
      <c r="D20" s="3" t="s">
        <v>26</v>
      </c>
      <c r="E20" s="3">
        <v>8</v>
      </c>
      <c r="F20" s="4">
        <v>84</v>
      </c>
      <c r="G20" s="4">
        <v>2.1</v>
      </c>
      <c r="H20" s="4">
        <v>73.7</v>
      </c>
      <c r="I20" s="4">
        <v>63.3</v>
      </c>
      <c r="J20" s="4">
        <v>69.2</v>
      </c>
      <c r="K20" s="3">
        <v>2</v>
      </c>
      <c r="L20" s="3">
        <v>3</v>
      </c>
      <c r="M20" s="3">
        <v>0</v>
      </c>
      <c r="N20" s="3" t="s">
        <v>37</v>
      </c>
      <c r="O20" s="5">
        <v>14606</v>
      </c>
      <c r="P20" s="3" t="s">
        <v>32</v>
      </c>
      <c r="Q20" s="6">
        <v>68.33</v>
      </c>
      <c r="R20" s="7" t="str">
        <f>IF(Q20&gt;=KPI!$E$4,"A",IF(Q20&gt;=KPI!$E$5,"B",IF(Q20&gt;=KPI!$E$6,"C",IF(Q20&gt;=KPI!$E$7,"D","F"))))</f>
        <v>C</v>
      </c>
      <c r="S20" s="7">
        <f t="shared" si="0"/>
        <v>0</v>
      </c>
      <c r="T20" s="6">
        <f t="shared" si="1"/>
        <v>66.25</v>
      </c>
      <c r="U20" s="7">
        <f>RANK(Q20,$Q$2:$Q$251,0)+COUNTIF($Q$2:Q20,Q20)-1</f>
        <v>198</v>
      </c>
      <c r="V20" s="3" t="str">
        <f t="shared" si="2"/>
        <v>STUDENT_019</v>
      </c>
      <c r="W20" s="3" t="str">
        <f t="shared" si="3"/>
        <v>019</v>
      </c>
    </row>
    <row r="21" spans="1:23" x14ac:dyDescent="0.3">
      <c r="A21" s="3" t="s">
        <v>72</v>
      </c>
      <c r="B21" s="3" t="s">
        <v>73</v>
      </c>
      <c r="C21" s="3" t="s">
        <v>25</v>
      </c>
      <c r="D21" s="3" t="s">
        <v>26</v>
      </c>
      <c r="E21" s="3">
        <v>5</v>
      </c>
      <c r="F21" s="4">
        <v>90.2</v>
      </c>
      <c r="G21" s="4">
        <v>3.4</v>
      </c>
      <c r="H21" s="4">
        <v>66.5</v>
      </c>
      <c r="I21" s="4">
        <v>81.8</v>
      </c>
      <c r="J21" s="4">
        <v>72.400000000000006</v>
      </c>
      <c r="K21" s="3">
        <v>0</v>
      </c>
      <c r="L21" s="3">
        <v>2</v>
      </c>
      <c r="M21" s="3">
        <v>2</v>
      </c>
      <c r="N21" s="3" t="s">
        <v>27</v>
      </c>
      <c r="O21" s="5">
        <v>0</v>
      </c>
      <c r="P21" s="3" t="s">
        <v>32</v>
      </c>
      <c r="Q21" s="6">
        <v>74.040000000000006</v>
      </c>
      <c r="R21" s="7" t="str">
        <f>IF(Q21&gt;=KPI!$E$4,"A",IF(Q21&gt;=KPI!$E$5,"B",IF(Q21&gt;=KPI!$E$6,"C",IF(Q21&gt;=KPI!$E$7,"D","F"))))</f>
        <v>C</v>
      </c>
      <c r="S21" s="7">
        <f t="shared" si="0"/>
        <v>0</v>
      </c>
      <c r="T21" s="6">
        <f t="shared" si="1"/>
        <v>77.099999999999994</v>
      </c>
      <c r="U21" s="7">
        <f>RANK(Q21,$Q$2:$Q$251,0)+COUNTIF($Q$2:Q21,Q21)-1</f>
        <v>144</v>
      </c>
      <c r="V21" s="3" t="str">
        <f t="shared" si="2"/>
        <v>STUDENT_020</v>
      </c>
      <c r="W21" s="3" t="str">
        <f t="shared" si="3"/>
        <v>020</v>
      </c>
    </row>
    <row r="22" spans="1:23" x14ac:dyDescent="0.3">
      <c r="A22" s="3" t="s">
        <v>74</v>
      </c>
      <c r="B22" s="3" t="s">
        <v>75</v>
      </c>
      <c r="C22" s="3" t="s">
        <v>40</v>
      </c>
      <c r="D22" s="3" t="s">
        <v>36</v>
      </c>
      <c r="E22" s="3">
        <v>7</v>
      </c>
      <c r="F22" s="4">
        <v>91.5</v>
      </c>
      <c r="G22" s="4">
        <v>7.2</v>
      </c>
      <c r="H22" s="4">
        <v>78.5</v>
      </c>
      <c r="I22" s="4">
        <v>86.4</v>
      </c>
      <c r="J22" s="4">
        <v>100</v>
      </c>
      <c r="K22" s="3">
        <v>3</v>
      </c>
      <c r="L22" s="3">
        <v>4</v>
      </c>
      <c r="M22" s="3">
        <v>0</v>
      </c>
      <c r="N22" s="3" t="s">
        <v>37</v>
      </c>
      <c r="O22" s="5">
        <v>19668</v>
      </c>
      <c r="P22" s="3" t="s">
        <v>28</v>
      </c>
      <c r="Q22" s="6">
        <v>91.62</v>
      </c>
      <c r="R22" s="7" t="str">
        <f>IF(Q22&gt;=KPI!$E$4,"A",IF(Q22&gt;=KPI!$E$5,"B",IF(Q22&gt;=KPI!$E$6,"C",IF(Q22&gt;=KPI!$E$7,"D","F"))))</f>
        <v>A</v>
      </c>
      <c r="S22" s="7">
        <f t="shared" si="0"/>
        <v>1</v>
      </c>
      <c r="T22" s="6">
        <f t="shared" si="1"/>
        <v>93.2</v>
      </c>
      <c r="U22" s="7">
        <f>RANK(Q22,$Q$2:$Q$251,0)+COUNTIF($Q$2:Q22,Q22)-1</f>
        <v>2</v>
      </c>
      <c r="V22" s="3" t="str">
        <f t="shared" si="2"/>
        <v>STUDENT_021</v>
      </c>
      <c r="W22" s="3" t="str">
        <f t="shared" si="3"/>
        <v>021</v>
      </c>
    </row>
    <row r="23" spans="1:23" x14ac:dyDescent="0.3">
      <c r="A23" s="3" t="s">
        <v>76</v>
      </c>
      <c r="B23" s="3" t="s">
        <v>77</v>
      </c>
      <c r="C23" s="3" t="s">
        <v>43</v>
      </c>
      <c r="D23" s="3" t="s">
        <v>36</v>
      </c>
      <c r="E23" s="3">
        <v>1</v>
      </c>
      <c r="F23" s="4">
        <v>87.9</v>
      </c>
      <c r="G23" s="4">
        <v>3.2</v>
      </c>
      <c r="H23" s="4">
        <v>62.2</v>
      </c>
      <c r="I23" s="4">
        <v>73.5</v>
      </c>
      <c r="J23" s="4">
        <v>70.5</v>
      </c>
      <c r="K23" s="3">
        <v>3</v>
      </c>
      <c r="L23" s="3">
        <v>0</v>
      </c>
      <c r="M23" s="3">
        <v>0</v>
      </c>
      <c r="N23" s="3" t="s">
        <v>27</v>
      </c>
      <c r="O23" s="5">
        <v>0</v>
      </c>
      <c r="P23" s="3" t="s">
        <v>32</v>
      </c>
      <c r="Q23" s="6">
        <v>69.739999999999995</v>
      </c>
      <c r="R23" s="7" t="str">
        <f>IF(Q23&gt;=KPI!$E$4,"A",IF(Q23&gt;=KPI!$E$5,"B",IF(Q23&gt;=KPI!$E$6,"C",IF(Q23&gt;=KPI!$E$7,"D","F"))))</f>
        <v>C</v>
      </c>
      <c r="S23" s="7">
        <f t="shared" si="0"/>
        <v>0</v>
      </c>
      <c r="T23" s="6">
        <f t="shared" si="1"/>
        <v>72</v>
      </c>
      <c r="U23" s="7">
        <f>RANK(Q23,$Q$2:$Q$251,0)+COUNTIF($Q$2:Q23,Q23)-1</f>
        <v>191</v>
      </c>
      <c r="V23" s="3" t="str">
        <f t="shared" si="2"/>
        <v>STUDENT_022</v>
      </c>
      <c r="W23" s="3" t="str">
        <f t="shared" si="3"/>
        <v>022</v>
      </c>
    </row>
    <row r="24" spans="1:23" x14ac:dyDescent="0.3">
      <c r="A24" s="3" t="s">
        <v>78</v>
      </c>
      <c r="B24" s="3" t="s">
        <v>79</v>
      </c>
      <c r="C24" s="3" t="s">
        <v>25</v>
      </c>
      <c r="D24" s="3" t="s">
        <v>36</v>
      </c>
      <c r="E24" s="3">
        <v>2</v>
      </c>
      <c r="F24" s="4">
        <v>74.099999999999994</v>
      </c>
      <c r="G24" s="4">
        <v>5.8</v>
      </c>
      <c r="H24" s="4">
        <v>88.9</v>
      </c>
      <c r="I24" s="4">
        <v>78.5</v>
      </c>
      <c r="J24" s="4">
        <v>84.9</v>
      </c>
      <c r="K24" s="3">
        <v>4</v>
      </c>
      <c r="L24" s="3">
        <v>4</v>
      </c>
      <c r="M24" s="3">
        <v>0</v>
      </c>
      <c r="N24" s="3" t="s">
        <v>27</v>
      </c>
      <c r="O24" s="5">
        <v>0</v>
      </c>
      <c r="P24" s="3" t="s">
        <v>28</v>
      </c>
      <c r="Q24" s="6">
        <v>83.78</v>
      </c>
      <c r="R24" s="7" t="str">
        <f>IF(Q24&gt;=KPI!$E$4,"A",IF(Q24&gt;=KPI!$E$5,"B",IF(Q24&gt;=KPI!$E$6,"C",IF(Q24&gt;=KPI!$E$7,"D","F"))))</f>
        <v>B</v>
      </c>
      <c r="S24" s="7">
        <f t="shared" si="0"/>
        <v>1</v>
      </c>
      <c r="T24" s="6">
        <f t="shared" si="1"/>
        <v>81.7</v>
      </c>
      <c r="U24" s="7">
        <f>RANK(Q24,$Q$2:$Q$251,0)+COUNTIF($Q$2:Q24,Q24)-1</f>
        <v>45</v>
      </c>
      <c r="V24" s="3" t="str">
        <f t="shared" si="2"/>
        <v>STUDENT_023</v>
      </c>
      <c r="W24" s="3" t="str">
        <f t="shared" si="3"/>
        <v>023</v>
      </c>
    </row>
    <row r="25" spans="1:23" x14ac:dyDescent="0.3">
      <c r="A25" s="3" t="s">
        <v>80</v>
      </c>
      <c r="B25" s="3" t="s">
        <v>81</v>
      </c>
      <c r="C25" s="3" t="s">
        <v>25</v>
      </c>
      <c r="D25" s="3" t="s">
        <v>36</v>
      </c>
      <c r="E25" s="3">
        <v>2</v>
      </c>
      <c r="F25" s="4">
        <v>82</v>
      </c>
      <c r="G25" s="4">
        <v>1.6</v>
      </c>
      <c r="H25" s="4">
        <v>84.1</v>
      </c>
      <c r="I25" s="4"/>
      <c r="J25" s="4">
        <v>80.8</v>
      </c>
      <c r="K25" s="3">
        <v>5</v>
      </c>
      <c r="L25" s="3">
        <v>1</v>
      </c>
      <c r="M25" s="3">
        <v>0</v>
      </c>
      <c r="N25" s="3" t="s">
        <v>37</v>
      </c>
      <c r="O25" s="5">
        <v>17445</v>
      </c>
      <c r="P25" s="3" t="s">
        <v>32</v>
      </c>
      <c r="Q25" s="6">
        <v>87.22</v>
      </c>
      <c r="R25" s="7" t="str">
        <f>IF(Q25&gt;=KPI!$E$4,"A",IF(Q25&gt;=KPI!$E$5,"B",IF(Q25&gt;=KPI!$E$6,"C",IF(Q25&gt;=KPI!$E$7,"D","F"))))</f>
        <v>A</v>
      </c>
      <c r="S25" s="7">
        <f t="shared" si="0"/>
        <v>0</v>
      </c>
      <c r="T25" s="6">
        <f t="shared" si="1"/>
        <v>80.8</v>
      </c>
      <c r="U25" s="7">
        <f>RANK(Q25,$Q$2:$Q$251,0)+COUNTIF($Q$2:Q25,Q25)-1</f>
        <v>20</v>
      </c>
      <c r="V25" s="3" t="str">
        <f t="shared" si="2"/>
        <v>STUDENT_024</v>
      </c>
      <c r="W25" s="3" t="str">
        <f t="shared" si="3"/>
        <v>024</v>
      </c>
    </row>
    <row r="26" spans="1:23" x14ac:dyDescent="0.3">
      <c r="A26" s="3" t="s">
        <v>82</v>
      </c>
      <c r="B26" s="3" t="s">
        <v>83</v>
      </c>
      <c r="C26" s="3" t="s">
        <v>25</v>
      </c>
      <c r="D26" s="3" t="s">
        <v>36</v>
      </c>
      <c r="E26" s="3">
        <v>8</v>
      </c>
      <c r="F26" s="4">
        <v>100</v>
      </c>
      <c r="G26" s="4">
        <v>8.5</v>
      </c>
      <c r="H26" s="4"/>
      <c r="I26" s="4">
        <v>55.6</v>
      </c>
      <c r="J26" s="4">
        <v>92.4</v>
      </c>
      <c r="K26" s="3">
        <v>0</v>
      </c>
      <c r="L26" s="3">
        <v>3</v>
      </c>
      <c r="M26" s="3">
        <v>0</v>
      </c>
      <c r="N26" s="3" t="s">
        <v>37</v>
      </c>
      <c r="O26" s="5">
        <v>5742</v>
      </c>
      <c r="P26" s="3" t="s">
        <v>32</v>
      </c>
      <c r="Q26" s="6">
        <v>76.8</v>
      </c>
      <c r="R26" s="7" t="str">
        <f>IF(Q26&gt;=KPI!$E$4,"A",IF(Q26&gt;=KPI!$E$5,"B",IF(Q26&gt;=KPI!$E$6,"C",IF(Q26&gt;=KPI!$E$7,"D","F"))))</f>
        <v>B</v>
      </c>
      <c r="S26" s="7">
        <f t="shared" si="0"/>
        <v>0</v>
      </c>
      <c r="T26" s="6">
        <f t="shared" si="1"/>
        <v>74</v>
      </c>
      <c r="U26" s="7">
        <f>RANK(Q26,$Q$2:$Q$251,0)+COUNTIF($Q$2:Q26,Q26)-1</f>
        <v>111</v>
      </c>
      <c r="V26" s="3" t="str">
        <f t="shared" si="2"/>
        <v>STUDENT_025</v>
      </c>
      <c r="W26" s="3" t="str">
        <f t="shared" si="3"/>
        <v>025</v>
      </c>
    </row>
    <row r="27" spans="1:23" x14ac:dyDescent="0.3">
      <c r="A27" s="3" t="s">
        <v>84</v>
      </c>
      <c r="B27" s="3" t="s">
        <v>85</v>
      </c>
      <c r="C27" s="3" t="s">
        <v>35</v>
      </c>
      <c r="D27" s="3" t="s">
        <v>36</v>
      </c>
      <c r="E27" s="3">
        <v>6</v>
      </c>
      <c r="F27" s="4">
        <v>91.1</v>
      </c>
      <c r="G27" s="4">
        <v>4.3</v>
      </c>
      <c r="H27" s="4">
        <v>70.2</v>
      </c>
      <c r="I27" s="4">
        <v>54.7</v>
      </c>
      <c r="J27" s="4">
        <v>82.2</v>
      </c>
      <c r="K27" s="3">
        <v>2</v>
      </c>
      <c r="L27" s="3">
        <v>3</v>
      </c>
      <c r="M27" s="3">
        <v>1</v>
      </c>
      <c r="N27" s="3" t="s">
        <v>37</v>
      </c>
      <c r="O27" s="5">
        <v>5306</v>
      </c>
      <c r="P27" s="3" t="s">
        <v>28</v>
      </c>
      <c r="Q27" s="6">
        <v>71.55</v>
      </c>
      <c r="R27" s="7" t="str">
        <f>IF(Q27&gt;=KPI!$E$4,"A",IF(Q27&gt;=KPI!$E$5,"B",IF(Q27&gt;=KPI!$E$6,"C",IF(Q27&gt;=KPI!$E$7,"D","F"))))</f>
        <v>C</v>
      </c>
      <c r="S27" s="7">
        <f t="shared" si="0"/>
        <v>1</v>
      </c>
      <c r="T27" s="6">
        <f t="shared" si="1"/>
        <v>68.45</v>
      </c>
      <c r="U27" s="7">
        <f>RANK(Q27,$Q$2:$Q$251,0)+COUNTIF($Q$2:Q27,Q27)-1</f>
        <v>168</v>
      </c>
      <c r="V27" s="3" t="str">
        <f t="shared" si="2"/>
        <v>STUDENT_026</v>
      </c>
      <c r="W27" s="3" t="str">
        <f t="shared" si="3"/>
        <v>026</v>
      </c>
    </row>
    <row r="28" spans="1:23" x14ac:dyDescent="0.3">
      <c r="A28" s="3" t="s">
        <v>86</v>
      </c>
      <c r="B28" s="3" t="s">
        <v>87</v>
      </c>
      <c r="C28" s="3" t="s">
        <v>43</v>
      </c>
      <c r="D28" s="3" t="s">
        <v>36</v>
      </c>
      <c r="E28" s="3">
        <v>2</v>
      </c>
      <c r="F28" s="4">
        <v>78</v>
      </c>
      <c r="G28" s="4">
        <v>5</v>
      </c>
      <c r="H28" s="4">
        <v>79.599999999999994</v>
      </c>
      <c r="I28" s="4">
        <v>81.7</v>
      </c>
      <c r="J28" s="4">
        <v>93.7</v>
      </c>
      <c r="K28" s="3">
        <v>3</v>
      </c>
      <c r="L28" s="3">
        <v>1</v>
      </c>
      <c r="M28" s="3">
        <v>0</v>
      </c>
      <c r="N28" s="3" t="s">
        <v>27</v>
      </c>
      <c r="O28" s="5">
        <v>0</v>
      </c>
      <c r="P28" s="3" t="s">
        <v>28</v>
      </c>
      <c r="Q28" s="6">
        <v>87.28</v>
      </c>
      <c r="R28" s="7" t="str">
        <f>IF(Q28&gt;=KPI!$E$4,"A",IF(Q28&gt;=KPI!$E$5,"B",IF(Q28&gt;=KPI!$E$6,"C",IF(Q28&gt;=KPI!$E$7,"D","F"))))</f>
        <v>A</v>
      </c>
      <c r="S28" s="7">
        <f t="shared" si="0"/>
        <v>1</v>
      </c>
      <c r="T28" s="6">
        <f t="shared" si="1"/>
        <v>87.7</v>
      </c>
      <c r="U28" s="7">
        <f>RANK(Q28,$Q$2:$Q$251,0)+COUNTIF($Q$2:Q28,Q28)-1</f>
        <v>19</v>
      </c>
      <c r="V28" s="3" t="str">
        <f t="shared" si="2"/>
        <v>STUDENT_027</v>
      </c>
      <c r="W28" s="3" t="str">
        <f t="shared" si="3"/>
        <v>027</v>
      </c>
    </row>
    <row r="29" spans="1:23" x14ac:dyDescent="0.3">
      <c r="A29" s="3" t="s">
        <v>88</v>
      </c>
      <c r="B29" s="3" t="s">
        <v>89</v>
      </c>
      <c r="C29" s="3" t="s">
        <v>40</v>
      </c>
      <c r="D29" s="3" t="s">
        <v>36</v>
      </c>
      <c r="E29" s="3">
        <v>3</v>
      </c>
      <c r="F29" s="4">
        <v>96.2</v>
      </c>
      <c r="G29" s="4">
        <v>5.0999999999999996</v>
      </c>
      <c r="H29" s="4">
        <v>65.599999999999994</v>
      </c>
      <c r="I29" s="4">
        <v>99.3</v>
      </c>
      <c r="J29" s="4">
        <v>97.2</v>
      </c>
      <c r="K29" s="3">
        <v>0</v>
      </c>
      <c r="L29" s="3">
        <v>2</v>
      </c>
      <c r="M29" s="3">
        <v>1</v>
      </c>
      <c r="N29" s="3" t="s">
        <v>37</v>
      </c>
      <c r="O29" s="5">
        <v>16360</v>
      </c>
      <c r="P29" s="3" t="s">
        <v>28</v>
      </c>
      <c r="Q29" s="6">
        <v>91.51</v>
      </c>
      <c r="R29" s="7" t="str">
        <f>IF(Q29&gt;=KPI!$E$4,"A",IF(Q29&gt;=KPI!$E$5,"B",IF(Q29&gt;=KPI!$E$6,"C",IF(Q29&gt;=KPI!$E$7,"D","F"))))</f>
        <v>A</v>
      </c>
      <c r="S29" s="7">
        <f t="shared" si="0"/>
        <v>1</v>
      </c>
      <c r="T29" s="6">
        <f t="shared" si="1"/>
        <v>98.25</v>
      </c>
      <c r="U29" s="7">
        <f>RANK(Q29,$Q$2:$Q$251,0)+COUNTIF($Q$2:Q29,Q29)-1</f>
        <v>3</v>
      </c>
      <c r="V29" s="3" t="str">
        <f t="shared" si="2"/>
        <v>STUDENT_028</v>
      </c>
      <c r="W29" s="3" t="str">
        <f t="shared" si="3"/>
        <v>028</v>
      </c>
    </row>
    <row r="30" spans="1:23" x14ac:dyDescent="0.3">
      <c r="A30" s="3" t="s">
        <v>90</v>
      </c>
      <c r="B30" s="3" t="s">
        <v>91</v>
      </c>
      <c r="C30" s="3" t="s">
        <v>40</v>
      </c>
      <c r="D30" s="3" t="s">
        <v>36</v>
      </c>
      <c r="E30" s="3">
        <v>5</v>
      </c>
      <c r="F30" s="4">
        <v>78.5</v>
      </c>
      <c r="G30" s="4">
        <v>5.9</v>
      </c>
      <c r="H30" s="4">
        <v>99.6</v>
      </c>
      <c r="I30" s="4">
        <v>68.400000000000006</v>
      </c>
      <c r="J30" s="4">
        <v>78.8</v>
      </c>
      <c r="K30" s="3">
        <v>3</v>
      </c>
      <c r="L30" s="3">
        <v>2</v>
      </c>
      <c r="M30" s="3">
        <v>2</v>
      </c>
      <c r="N30" s="3" t="s">
        <v>27</v>
      </c>
      <c r="O30" s="5">
        <v>0</v>
      </c>
      <c r="P30" s="3" t="s">
        <v>28</v>
      </c>
      <c r="Q30" s="6">
        <v>79.84</v>
      </c>
      <c r="R30" s="7" t="str">
        <f>IF(Q30&gt;=KPI!$E$4,"A",IF(Q30&gt;=KPI!$E$5,"B",IF(Q30&gt;=KPI!$E$6,"C",IF(Q30&gt;=KPI!$E$7,"D","F"))))</f>
        <v>B</v>
      </c>
      <c r="S30" s="7">
        <f t="shared" si="0"/>
        <v>1</v>
      </c>
      <c r="T30" s="6">
        <f t="shared" si="1"/>
        <v>73.599999999999994</v>
      </c>
      <c r="U30" s="7">
        <f>RANK(Q30,$Q$2:$Q$251,0)+COUNTIF($Q$2:Q30,Q30)-1</f>
        <v>84</v>
      </c>
      <c r="V30" s="3" t="str">
        <f t="shared" si="2"/>
        <v>STUDENT_029</v>
      </c>
      <c r="W30" s="3" t="str">
        <f t="shared" si="3"/>
        <v>029</v>
      </c>
    </row>
    <row r="31" spans="1:23" x14ac:dyDescent="0.3">
      <c r="A31" s="3" t="s">
        <v>92</v>
      </c>
      <c r="B31" s="3" t="s">
        <v>93</v>
      </c>
      <c r="C31" s="3" t="s">
        <v>43</v>
      </c>
      <c r="D31" s="3" t="s">
        <v>36</v>
      </c>
      <c r="E31" s="3">
        <v>5</v>
      </c>
      <c r="F31" s="4">
        <v>76</v>
      </c>
      <c r="G31" s="4">
        <v>2.1</v>
      </c>
      <c r="H31" s="4">
        <v>80.7</v>
      </c>
      <c r="I31" s="4">
        <v>96.2</v>
      </c>
      <c r="J31" s="4">
        <v>88.7</v>
      </c>
      <c r="K31" s="3">
        <v>2</v>
      </c>
      <c r="L31" s="3">
        <v>3</v>
      </c>
      <c r="M31" s="3">
        <v>0</v>
      </c>
      <c r="N31" s="3" t="s">
        <v>37</v>
      </c>
      <c r="O31" s="5">
        <v>11519</v>
      </c>
      <c r="P31" s="3" t="s">
        <v>28</v>
      </c>
      <c r="Q31" s="6">
        <v>89.35</v>
      </c>
      <c r="R31" s="7" t="str">
        <f>IF(Q31&gt;=KPI!$E$4,"A",IF(Q31&gt;=KPI!$E$5,"B",IF(Q31&gt;=KPI!$E$6,"C",IF(Q31&gt;=KPI!$E$7,"D","F"))))</f>
        <v>A</v>
      </c>
      <c r="S31" s="7">
        <f t="shared" si="0"/>
        <v>1</v>
      </c>
      <c r="T31" s="6">
        <f t="shared" si="1"/>
        <v>92.45</v>
      </c>
      <c r="U31" s="7">
        <f>RANK(Q31,$Q$2:$Q$251,0)+COUNTIF($Q$2:Q31,Q31)-1</f>
        <v>9</v>
      </c>
      <c r="V31" s="3" t="str">
        <f t="shared" si="2"/>
        <v>STUDENT_030</v>
      </c>
      <c r="W31" s="3" t="str">
        <f t="shared" si="3"/>
        <v>030</v>
      </c>
    </row>
    <row r="32" spans="1:23" x14ac:dyDescent="0.3">
      <c r="A32" s="3" t="s">
        <v>94</v>
      </c>
      <c r="B32" s="3" t="s">
        <v>95</v>
      </c>
      <c r="C32" s="3" t="s">
        <v>40</v>
      </c>
      <c r="D32" s="3" t="s">
        <v>36</v>
      </c>
      <c r="E32" s="3">
        <v>7</v>
      </c>
      <c r="F32" s="4">
        <v>94.6</v>
      </c>
      <c r="G32" s="4">
        <v>4.8</v>
      </c>
      <c r="H32" s="4">
        <v>81.099999999999994</v>
      </c>
      <c r="I32" s="4">
        <v>73.400000000000006</v>
      </c>
      <c r="J32" s="4">
        <v>81.8</v>
      </c>
      <c r="K32" s="3">
        <v>3</v>
      </c>
      <c r="L32" s="3">
        <v>3</v>
      </c>
      <c r="M32" s="3">
        <v>1</v>
      </c>
      <c r="N32" s="3" t="s">
        <v>27</v>
      </c>
      <c r="O32" s="5">
        <v>0</v>
      </c>
      <c r="P32" s="3" t="s">
        <v>28</v>
      </c>
      <c r="Q32" s="6">
        <v>79.14</v>
      </c>
      <c r="R32" s="7" t="str">
        <f>IF(Q32&gt;=KPI!$E$4,"A",IF(Q32&gt;=KPI!$E$5,"B",IF(Q32&gt;=KPI!$E$6,"C",IF(Q32&gt;=KPI!$E$7,"D","F"))))</f>
        <v>B</v>
      </c>
      <c r="S32" s="7">
        <f t="shared" si="0"/>
        <v>1</v>
      </c>
      <c r="T32" s="6">
        <f t="shared" si="1"/>
        <v>77.599999999999994</v>
      </c>
      <c r="U32" s="7">
        <f>RANK(Q32,$Q$2:$Q$251,0)+COUNTIF($Q$2:Q32,Q32)-1</f>
        <v>91</v>
      </c>
      <c r="V32" s="3" t="str">
        <f t="shared" si="2"/>
        <v>STUDENT_031</v>
      </c>
      <c r="W32" s="3" t="str">
        <f t="shared" si="3"/>
        <v>031</v>
      </c>
    </row>
    <row r="33" spans="1:23" x14ac:dyDescent="0.3">
      <c r="A33" s="3" t="s">
        <v>96</v>
      </c>
      <c r="B33" s="3" t="s">
        <v>97</v>
      </c>
      <c r="C33" s="3" t="s">
        <v>43</v>
      </c>
      <c r="D33" s="3" t="s">
        <v>26</v>
      </c>
      <c r="E33" s="3">
        <v>8</v>
      </c>
      <c r="F33" s="4">
        <v>70.2</v>
      </c>
      <c r="G33" s="4">
        <v>3.6</v>
      </c>
      <c r="H33" s="4">
        <v>84.9</v>
      </c>
      <c r="I33" s="4">
        <v>62.5</v>
      </c>
      <c r="J33" s="4">
        <v>79.8</v>
      </c>
      <c r="K33" s="3">
        <v>5</v>
      </c>
      <c r="L33" s="3">
        <v>0</v>
      </c>
      <c r="M33" s="3">
        <v>0</v>
      </c>
      <c r="N33" s="3" t="s">
        <v>27</v>
      </c>
      <c r="O33" s="5">
        <v>0</v>
      </c>
      <c r="P33" s="3" t="s">
        <v>28</v>
      </c>
      <c r="Q33" s="6">
        <v>75.63</v>
      </c>
      <c r="R33" s="7" t="str">
        <f>IF(Q33&gt;=KPI!$E$4,"A",IF(Q33&gt;=KPI!$E$5,"B",IF(Q33&gt;=KPI!$E$6,"C",IF(Q33&gt;=KPI!$E$7,"D","F"))))</f>
        <v>B</v>
      </c>
      <c r="S33" s="7">
        <f t="shared" si="0"/>
        <v>1</v>
      </c>
      <c r="T33" s="6">
        <f t="shared" si="1"/>
        <v>71.150000000000006</v>
      </c>
      <c r="U33" s="7">
        <f>RANK(Q33,$Q$2:$Q$251,0)+COUNTIF($Q$2:Q33,Q33)-1</f>
        <v>124</v>
      </c>
      <c r="V33" s="3" t="str">
        <f t="shared" si="2"/>
        <v>STUDENT_032</v>
      </c>
      <c r="W33" s="3" t="str">
        <f t="shared" si="3"/>
        <v>032</v>
      </c>
    </row>
    <row r="34" spans="1:23" x14ac:dyDescent="0.3">
      <c r="A34" s="3" t="s">
        <v>98</v>
      </c>
      <c r="B34" s="3" t="s">
        <v>99</v>
      </c>
      <c r="C34" s="3" t="s">
        <v>43</v>
      </c>
      <c r="D34" s="3" t="s">
        <v>26</v>
      </c>
      <c r="E34" s="3">
        <v>1</v>
      </c>
      <c r="F34" s="4">
        <v>64.8</v>
      </c>
      <c r="G34" s="4">
        <v>1.8</v>
      </c>
      <c r="H34" s="4">
        <v>68.5</v>
      </c>
      <c r="I34" s="4">
        <v>58.1</v>
      </c>
      <c r="J34" s="4">
        <v>67.599999999999994</v>
      </c>
      <c r="K34" s="3">
        <v>5</v>
      </c>
      <c r="L34" s="3">
        <v>2</v>
      </c>
      <c r="M34" s="3">
        <v>1</v>
      </c>
      <c r="N34" s="3" t="s">
        <v>27</v>
      </c>
      <c r="O34" s="5">
        <v>0</v>
      </c>
      <c r="P34" s="3" t="s">
        <v>28</v>
      </c>
      <c r="Q34" s="6">
        <v>64.930000000000007</v>
      </c>
      <c r="R34" s="7" t="str">
        <f>IF(Q34&gt;=KPI!$E$4,"A",IF(Q34&gt;=KPI!$E$5,"B",IF(Q34&gt;=KPI!$E$6,"C",IF(Q34&gt;=KPI!$E$7,"D","F"))))</f>
        <v>D</v>
      </c>
      <c r="S34" s="7">
        <f t="shared" si="0"/>
        <v>1</v>
      </c>
      <c r="T34" s="6">
        <f t="shared" si="1"/>
        <v>62.849999999999994</v>
      </c>
      <c r="U34" s="7">
        <f>RANK(Q34,$Q$2:$Q$251,0)+COUNTIF($Q$2:Q34,Q34)-1</f>
        <v>212</v>
      </c>
      <c r="V34" s="3" t="str">
        <f t="shared" si="2"/>
        <v>STUDENT_033</v>
      </c>
      <c r="W34" s="3" t="str">
        <f t="shared" si="3"/>
        <v>033</v>
      </c>
    </row>
    <row r="35" spans="1:23" x14ac:dyDescent="0.3">
      <c r="A35" s="3" t="s">
        <v>100</v>
      </c>
      <c r="B35" s="3" t="s">
        <v>101</v>
      </c>
      <c r="C35" s="3" t="s">
        <v>31</v>
      </c>
      <c r="D35" s="3" t="s">
        <v>26</v>
      </c>
      <c r="E35" s="3">
        <v>6</v>
      </c>
      <c r="F35" s="4">
        <v>90.5</v>
      </c>
      <c r="G35" s="4">
        <v>6.6</v>
      </c>
      <c r="H35" s="4">
        <v>90.2</v>
      </c>
      <c r="I35" s="4">
        <v>80.8</v>
      </c>
      <c r="J35" s="4">
        <v>85.7</v>
      </c>
      <c r="K35" s="3">
        <v>4</v>
      </c>
      <c r="L35" s="3">
        <v>1</v>
      </c>
      <c r="M35" s="3">
        <v>0</v>
      </c>
      <c r="N35" s="3" t="s">
        <v>27</v>
      </c>
      <c r="O35" s="5">
        <v>0</v>
      </c>
      <c r="P35" s="3" t="s">
        <v>28</v>
      </c>
      <c r="Q35" s="6">
        <v>85.13</v>
      </c>
      <c r="R35" s="7" t="str">
        <f>IF(Q35&gt;=KPI!$E$4,"A",IF(Q35&gt;=KPI!$E$5,"B",IF(Q35&gt;=KPI!$E$6,"C",IF(Q35&gt;=KPI!$E$7,"D","F"))))</f>
        <v>A</v>
      </c>
      <c r="S35" s="7">
        <f t="shared" si="0"/>
        <v>1</v>
      </c>
      <c r="T35" s="6">
        <f t="shared" si="1"/>
        <v>83.25</v>
      </c>
      <c r="U35" s="7">
        <f>RANK(Q35,$Q$2:$Q$251,0)+COUNTIF($Q$2:Q35,Q35)-1</f>
        <v>34</v>
      </c>
      <c r="V35" s="3" t="str">
        <f t="shared" si="2"/>
        <v>STUDENT_034</v>
      </c>
      <c r="W35" s="3" t="str">
        <f t="shared" si="3"/>
        <v>034</v>
      </c>
    </row>
    <row r="36" spans="1:23" x14ac:dyDescent="0.3">
      <c r="A36" s="3" t="s">
        <v>102</v>
      </c>
      <c r="B36" s="3" t="s">
        <v>103</v>
      </c>
      <c r="C36" s="3" t="s">
        <v>31</v>
      </c>
      <c r="D36" s="3" t="s">
        <v>36</v>
      </c>
      <c r="E36" s="3">
        <v>1</v>
      </c>
      <c r="F36" s="4">
        <v>82.2</v>
      </c>
      <c r="G36" s="4">
        <v>4.2</v>
      </c>
      <c r="H36" s="4">
        <v>77.5</v>
      </c>
      <c r="I36" s="4">
        <v>59.2</v>
      </c>
      <c r="J36" s="4">
        <v>77.5</v>
      </c>
      <c r="K36" s="3">
        <v>4</v>
      </c>
      <c r="L36" s="3">
        <v>2</v>
      </c>
      <c r="M36" s="3">
        <v>0</v>
      </c>
      <c r="N36" s="3" t="s">
        <v>27</v>
      </c>
      <c r="O36" s="5">
        <v>0</v>
      </c>
      <c r="P36" s="3" t="s">
        <v>28</v>
      </c>
      <c r="Q36" s="6">
        <v>72.010000000000005</v>
      </c>
      <c r="R36" s="7" t="str">
        <f>IF(Q36&gt;=KPI!$E$4,"A",IF(Q36&gt;=KPI!$E$5,"B",IF(Q36&gt;=KPI!$E$6,"C",IF(Q36&gt;=KPI!$E$7,"D","F"))))</f>
        <v>C</v>
      </c>
      <c r="S36" s="7">
        <f t="shared" si="0"/>
        <v>1</v>
      </c>
      <c r="T36" s="6">
        <f t="shared" si="1"/>
        <v>68.349999999999994</v>
      </c>
      <c r="U36" s="7">
        <f>RANK(Q36,$Q$2:$Q$251,0)+COUNTIF($Q$2:Q36,Q36)-1</f>
        <v>162</v>
      </c>
      <c r="V36" s="3" t="str">
        <f t="shared" si="2"/>
        <v>STUDENT_035</v>
      </c>
      <c r="W36" s="3" t="str">
        <f t="shared" si="3"/>
        <v>035</v>
      </c>
    </row>
    <row r="37" spans="1:23" x14ac:dyDescent="0.3">
      <c r="A37" s="3" t="s">
        <v>104</v>
      </c>
      <c r="B37" s="3" t="s">
        <v>105</v>
      </c>
      <c r="C37" s="3" t="s">
        <v>35</v>
      </c>
      <c r="D37" s="3" t="s">
        <v>26</v>
      </c>
      <c r="E37" s="3">
        <v>2</v>
      </c>
      <c r="F37" s="4">
        <v>83.1</v>
      </c>
      <c r="G37" s="4">
        <v>5.2</v>
      </c>
      <c r="H37" s="4">
        <v>88.4</v>
      </c>
      <c r="I37" s="4">
        <v>73.099999999999994</v>
      </c>
      <c r="J37" s="4">
        <v>86.8</v>
      </c>
      <c r="K37" s="3">
        <v>3</v>
      </c>
      <c r="L37" s="3">
        <v>0</v>
      </c>
      <c r="M37" s="3">
        <v>0</v>
      </c>
      <c r="N37" s="3" t="s">
        <v>27</v>
      </c>
      <c r="O37" s="5">
        <v>0</v>
      </c>
      <c r="P37" s="3" t="s">
        <v>28</v>
      </c>
      <c r="Q37" s="6">
        <v>83.01</v>
      </c>
      <c r="R37" s="7" t="str">
        <f>IF(Q37&gt;=KPI!$E$4,"A",IF(Q37&gt;=KPI!$E$5,"B",IF(Q37&gt;=KPI!$E$6,"C",IF(Q37&gt;=KPI!$E$7,"D","F"))))</f>
        <v>B</v>
      </c>
      <c r="S37" s="7">
        <f t="shared" si="0"/>
        <v>1</v>
      </c>
      <c r="T37" s="6">
        <f t="shared" si="1"/>
        <v>79.949999999999989</v>
      </c>
      <c r="U37" s="7">
        <f>RANK(Q37,$Q$2:$Q$251,0)+COUNTIF($Q$2:Q37,Q37)-1</f>
        <v>57</v>
      </c>
      <c r="V37" s="3" t="str">
        <f t="shared" si="2"/>
        <v>STUDENT_036</v>
      </c>
      <c r="W37" s="3" t="str">
        <f t="shared" si="3"/>
        <v>036</v>
      </c>
    </row>
    <row r="38" spans="1:23" x14ac:dyDescent="0.3">
      <c r="A38" s="3" t="s">
        <v>106</v>
      </c>
      <c r="B38" s="3" t="s">
        <v>107</v>
      </c>
      <c r="C38" s="3" t="s">
        <v>25</v>
      </c>
      <c r="D38" s="3" t="s">
        <v>26</v>
      </c>
      <c r="E38" s="3">
        <v>8</v>
      </c>
      <c r="F38" s="4">
        <v>78.7</v>
      </c>
      <c r="G38" s="4">
        <v>5.0999999999999996</v>
      </c>
      <c r="H38" s="4">
        <v>73.400000000000006</v>
      </c>
      <c r="I38" s="4">
        <v>94.2</v>
      </c>
      <c r="J38" s="4">
        <v>67.3</v>
      </c>
      <c r="K38" s="3">
        <v>0</v>
      </c>
      <c r="L38" s="3">
        <v>3</v>
      </c>
      <c r="M38" s="3">
        <v>0</v>
      </c>
      <c r="N38" s="3" t="s">
        <v>37</v>
      </c>
      <c r="O38" s="5">
        <v>6555</v>
      </c>
      <c r="P38" s="3" t="s">
        <v>32</v>
      </c>
      <c r="Q38" s="6">
        <v>76.59</v>
      </c>
      <c r="R38" s="7" t="str">
        <f>IF(Q38&gt;=KPI!$E$4,"A",IF(Q38&gt;=KPI!$E$5,"B",IF(Q38&gt;=KPI!$E$6,"C",IF(Q38&gt;=KPI!$E$7,"D","F"))))</f>
        <v>B</v>
      </c>
      <c r="S38" s="7">
        <f t="shared" si="0"/>
        <v>0</v>
      </c>
      <c r="T38" s="6">
        <f t="shared" si="1"/>
        <v>80.75</v>
      </c>
      <c r="U38" s="7">
        <f>RANK(Q38,$Q$2:$Q$251,0)+COUNTIF($Q$2:Q38,Q38)-1</f>
        <v>115</v>
      </c>
      <c r="V38" s="3" t="str">
        <f t="shared" si="2"/>
        <v>STUDENT_037</v>
      </c>
      <c r="W38" s="3" t="str">
        <f t="shared" si="3"/>
        <v>037</v>
      </c>
    </row>
    <row r="39" spans="1:23" x14ac:dyDescent="0.3">
      <c r="A39" s="3" t="s">
        <v>108</v>
      </c>
      <c r="B39" s="3" t="s">
        <v>109</v>
      </c>
      <c r="C39" s="3" t="s">
        <v>43</v>
      </c>
      <c r="D39" s="3" t="s">
        <v>36</v>
      </c>
      <c r="E39" s="3">
        <v>7</v>
      </c>
      <c r="F39" s="4">
        <v>79.900000000000006</v>
      </c>
      <c r="G39" s="4">
        <v>4.2</v>
      </c>
      <c r="H39" s="4">
        <v>93.1</v>
      </c>
      <c r="I39" s="4">
        <v>67.7</v>
      </c>
      <c r="J39" s="4">
        <v>83.7</v>
      </c>
      <c r="K39" s="3">
        <v>5</v>
      </c>
      <c r="L39" s="3">
        <v>3</v>
      </c>
      <c r="M39" s="3">
        <v>0</v>
      </c>
      <c r="N39" s="3" t="s">
        <v>37</v>
      </c>
      <c r="O39" s="5">
        <v>6305</v>
      </c>
      <c r="P39" s="3" t="s">
        <v>28</v>
      </c>
      <c r="Q39" s="6">
        <v>80.78</v>
      </c>
      <c r="R39" s="7" t="str">
        <f>IF(Q39&gt;=KPI!$E$4,"A",IF(Q39&gt;=KPI!$E$5,"B",IF(Q39&gt;=KPI!$E$6,"C",IF(Q39&gt;=KPI!$E$7,"D","F"))))</f>
        <v>B</v>
      </c>
      <c r="S39" s="7">
        <f t="shared" si="0"/>
        <v>1</v>
      </c>
      <c r="T39" s="6">
        <f t="shared" si="1"/>
        <v>75.7</v>
      </c>
      <c r="U39" s="7">
        <f>RANK(Q39,$Q$2:$Q$251,0)+COUNTIF($Q$2:Q39,Q39)-1</f>
        <v>75</v>
      </c>
      <c r="V39" s="3" t="str">
        <f t="shared" si="2"/>
        <v>STUDENT_038</v>
      </c>
      <c r="W39" s="3" t="str">
        <f t="shared" si="3"/>
        <v>038</v>
      </c>
    </row>
    <row r="40" spans="1:23" x14ac:dyDescent="0.3">
      <c r="A40" s="3" t="s">
        <v>110</v>
      </c>
      <c r="B40" s="3" t="s">
        <v>111</v>
      </c>
      <c r="C40" s="3" t="s">
        <v>35</v>
      </c>
      <c r="D40" s="3" t="s">
        <v>26</v>
      </c>
      <c r="E40" s="3">
        <v>1</v>
      </c>
      <c r="F40" s="4">
        <v>77.900000000000006</v>
      </c>
      <c r="G40" s="4">
        <v>8.4</v>
      </c>
      <c r="H40" s="4">
        <v>81.2</v>
      </c>
      <c r="I40" s="4">
        <v>90.4</v>
      </c>
      <c r="J40" s="4">
        <v>90.3</v>
      </c>
      <c r="K40" s="3">
        <v>0</v>
      </c>
      <c r="L40" s="3">
        <v>0</v>
      </c>
      <c r="M40" s="3">
        <v>0</v>
      </c>
      <c r="N40" s="3" t="s">
        <v>37</v>
      </c>
      <c r="O40" s="5">
        <v>16700</v>
      </c>
      <c r="P40" s="3" t="s">
        <v>28</v>
      </c>
      <c r="Q40" s="6">
        <v>88.51</v>
      </c>
      <c r="R40" s="7" t="str">
        <f>IF(Q40&gt;=KPI!$E$4,"A",IF(Q40&gt;=KPI!$E$5,"B",IF(Q40&gt;=KPI!$E$6,"C",IF(Q40&gt;=KPI!$E$7,"D","F"))))</f>
        <v>A</v>
      </c>
      <c r="S40" s="7">
        <f t="shared" si="0"/>
        <v>1</v>
      </c>
      <c r="T40" s="6">
        <f t="shared" si="1"/>
        <v>90.35</v>
      </c>
      <c r="U40" s="7">
        <f>RANK(Q40,$Q$2:$Q$251,0)+COUNTIF($Q$2:Q40,Q40)-1</f>
        <v>12</v>
      </c>
      <c r="V40" s="3" t="str">
        <f t="shared" si="2"/>
        <v>STUDENT_039</v>
      </c>
      <c r="W40" s="3" t="str">
        <f t="shared" si="3"/>
        <v>039</v>
      </c>
    </row>
    <row r="41" spans="1:23" x14ac:dyDescent="0.3">
      <c r="A41" s="3" t="s">
        <v>112</v>
      </c>
      <c r="B41" s="3" t="s">
        <v>113</v>
      </c>
      <c r="C41" s="3" t="s">
        <v>25</v>
      </c>
      <c r="D41" s="3" t="s">
        <v>36</v>
      </c>
      <c r="E41" s="3">
        <v>3</v>
      </c>
      <c r="F41" s="4">
        <v>76.400000000000006</v>
      </c>
      <c r="G41" s="4">
        <v>4.7</v>
      </c>
      <c r="H41" s="4">
        <v>100</v>
      </c>
      <c r="I41" s="4">
        <v>55</v>
      </c>
      <c r="J41" s="4">
        <v>68.2</v>
      </c>
      <c r="K41" s="3">
        <v>0</v>
      </c>
      <c r="L41" s="3">
        <v>1</v>
      </c>
      <c r="M41" s="3">
        <v>0</v>
      </c>
      <c r="N41" s="3" t="s">
        <v>27</v>
      </c>
      <c r="O41" s="5">
        <v>0</v>
      </c>
      <c r="P41" s="3" t="s">
        <v>32</v>
      </c>
      <c r="Q41" s="6">
        <v>70.599999999999994</v>
      </c>
      <c r="R41" s="7" t="str">
        <f>IF(Q41&gt;=KPI!$E$4,"A",IF(Q41&gt;=KPI!$E$5,"B",IF(Q41&gt;=KPI!$E$6,"C",IF(Q41&gt;=KPI!$E$7,"D","F"))))</f>
        <v>C</v>
      </c>
      <c r="S41" s="7">
        <f t="shared" si="0"/>
        <v>0</v>
      </c>
      <c r="T41" s="6">
        <f t="shared" si="1"/>
        <v>61.6</v>
      </c>
      <c r="U41" s="7">
        <f>RANK(Q41,$Q$2:$Q$251,0)+COUNTIF($Q$2:Q41,Q41)-1</f>
        <v>182</v>
      </c>
      <c r="V41" s="3" t="str">
        <f t="shared" si="2"/>
        <v>STUDENT_040</v>
      </c>
      <c r="W41" s="3" t="str">
        <f t="shared" si="3"/>
        <v>040</v>
      </c>
    </row>
    <row r="42" spans="1:23" x14ac:dyDescent="0.3">
      <c r="A42" s="3" t="s">
        <v>114</v>
      </c>
      <c r="B42" s="3" t="s">
        <v>115</v>
      </c>
      <c r="C42" s="3" t="s">
        <v>43</v>
      </c>
      <c r="D42" s="3" t="s">
        <v>26</v>
      </c>
      <c r="E42" s="3">
        <v>5</v>
      </c>
      <c r="F42" s="4">
        <v>78.599999999999994</v>
      </c>
      <c r="G42" s="4">
        <v>2</v>
      </c>
      <c r="H42" s="4">
        <v>71.2</v>
      </c>
      <c r="I42" s="4">
        <v>64.5</v>
      </c>
      <c r="J42" s="4">
        <v>60.6</v>
      </c>
      <c r="K42" s="3">
        <v>3</v>
      </c>
      <c r="L42" s="3">
        <v>3</v>
      </c>
      <c r="M42" s="3">
        <v>2</v>
      </c>
      <c r="N42" s="3" t="s">
        <v>37</v>
      </c>
      <c r="O42" s="5">
        <v>13280</v>
      </c>
      <c r="P42" s="3" t="s">
        <v>32</v>
      </c>
      <c r="Q42" s="6">
        <v>63.89</v>
      </c>
      <c r="R42" s="7" t="str">
        <f>IF(Q42&gt;=KPI!$E$4,"A",IF(Q42&gt;=KPI!$E$5,"B",IF(Q42&gt;=KPI!$E$6,"C",IF(Q42&gt;=KPI!$E$7,"D","F"))))</f>
        <v>D</v>
      </c>
      <c r="S42" s="7">
        <f t="shared" si="0"/>
        <v>0</v>
      </c>
      <c r="T42" s="6">
        <f t="shared" si="1"/>
        <v>62.55</v>
      </c>
      <c r="U42" s="7">
        <f>RANK(Q42,$Q$2:$Q$251,0)+COUNTIF($Q$2:Q42,Q42)-1</f>
        <v>223</v>
      </c>
      <c r="V42" s="3" t="str">
        <f t="shared" si="2"/>
        <v>STUDENT_041</v>
      </c>
      <c r="W42" s="3" t="str">
        <f t="shared" si="3"/>
        <v>041</v>
      </c>
    </row>
    <row r="43" spans="1:23" x14ac:dyDescent="0.3">
      <c r="A43" s="3" t="s">
        <v>116</v>
      </c>
      <c r="B43" s="3" t="s">
        <v>117</v>
      </c>
      <c r="C43" s="3" t="s">
        <v>25</v>
      </c>
      <c r="D43" s="3" t="s">
        <v>26</v>
      </c>
      <c r="E43" s="3">
        <v>2</v>
      </c>
      <c r="F43" s="4">
        <v>78.3</v>
      </c>
      <c r="G43" s="4">
        <v>4.0999999999999996</v>
      </c>
      <c r="H43" s="4">
        <v>78.7</v>
      </c>
      <c r="I43" s="4">
        <v>52.3</v>
      </c>
      <c r="J43" s="4">
        <v>66.099999999999994</v>
      </c>
      <c r="K43" s="3">
        <v>0</v>
      </c>
      <c r="L43" s="3">
        <v>4</v>
      </c>
      <c r="M43" s="3">
        <v>1</v>
      </c>
      <c r="N43" s="3" t="s">
        <v>27</v>
      </c>
      <c r="O43" s="5">
        <v>0</v>
      </c>
      <c r="P43" s="3" t="s">
        <v>32</v>
      </c>
      <c r="Q43" s="6">
        <v>64.48</v>
      </c>
      <c r="R43" s="7" t="str">
        <f>IF(Q43&gt;=KPI!$E$4,"A",IF(Q43&gt;=KPI!$E$5,"B",IF(Q43&gt;=KPI!$E$6,"C",IF(Q43&gt;=KPI!$E$7,"D","F"))))</f>
        <v>D</v>
      </c>
      <c r="S43" s="7">
        <f t="shared" si="0"/>
        <v>0</v>
      </c>
      <c r="T43" s="6">
        <f t="shared" si="1"/>
        <v>59.199999999999996</v>
      </c>
      <c r="U43" s="7">
        <f>RANK(Q43,$Q$2:$Q$251,0)+COUNTIF($Q$2:Q43,Q43)-1</f>
        <v>215</v>
      </c>
      <c r="V43" s="3" t="str">
        <f t="shared" si="2"/>
        <v>STUDENT_042</v>
      </c>
      <c r="W43" s="3" t="str">
        <f t="shared" si="3"/>
        <v>042</v>
      </c>
    </row>
    <row r="44" spans="1:23" x14ac:dyDescent="0.3">
      <c r="A44" s="3" t="s">
        <v>118</v>
      </c>
      <c r="B44" s="3" t="s">
        <v>119</v>
      </c>
      <c r="C44" s="3" t="s">
        <v>43</v>
      </c>
      <c r="D44" s="3" t="s">
        <v>36</v>
      </c>
      <c r="E44" s="3">
        <v>7</v>
      </c>
      <c r="F44" s="4">
        <v>74.5</v>
      </c>
      <c r="G44" s="4">
        <v>5.7</v>
      </c>
      <c r="H44" s="4">
        <v>62.6</v>
      </c>
      <c r="I44" s="4">
        <v>73</v>
      </c>
      <c r="J44" s="4">
        <v>78.2</v>
      </c>
      <c r="K44" s="3">
        <v>5</v>
      </c>
      <c r="L44" s="3">
        <v>3</v>
      </c>
      <c r="M44" s="3">
        <v>0</v>
      </c>
      <c r="N44" s="3" t="s">
        <v>27</v>
      </c>
      <c r="O44" s="5">
        <v>0</v>
      </c>
      <c r="P44" s="3" t="s">
        <v>28</v>
      </c>
      <c r="Q44" s="6">
        <v>73.52</v>
      </c>
      <c r="R44" s="7" t="str">
        <f>IF(Q44&gt;=KPI!$E$4,"A",IF(Q44&gt;=KPI!$E$5,"B",IF(Q44&gt;=KPI!$E$6,"C",IF(Q44&gt;=KPI!$E$7,"D","F"))))</f>
        <v>C</v>
      </c>
      <c r="S44" s="7">
        <f t="shared" si="0"/>
        <v>1</v>
      </c>
      <c r="T44" s="6">
        <f t="shared" si="1"/>
        <v>75.599999999999994</v>
      </c>
      <c r="U44" s="7">
        <f>RANK(Q44,$Q$2:$Q$251,0)+COUNTIF($Q$2:Q44,Q44)-1</f>
        <v>146</v>
      </c>
      <c r="V44" s="3" t="str">
        <f t="shared" si="2"/>
        <v>STUDENT_043</v>
      </c>
      <c r="W44" s="3" t="str">
        <f t="shared" si="3"/>
        <v>043</v>
      </c>
    </row>
    <row r="45" spans="1:23" x14ac:dyDescent="0.3">
      <c r="A45" s="3" t="s">
        <v>120</v>
      </c>
      <c r="B45" s="3" t="s">
        <v>121</v>
      </c>
      <c r="C45" s="3" t="s">
        <v>31</v>
      </c>
      <c r="D45" s="3" t="s">
        <v>26</v>
      </c>
      <c r="E45" s="3">
        <v>1</v>
      </c>
      <c r="F45" s="4">
        <v>77.099999999999994</v>
      </c>
      <c r="G45" s="4">
        <v>5.8</v>
      </c>
      <c r="H45" s="4">
        <v>69.099999999999994</v>
      </c>
      <c r="I45" s="4">
        <v>82.9</v>
      </c>
      <c r="J45" s="4">
        <v>72</v>
      </c>
      <c r="K45" s="3">
        <v>2</v>
      </c>
      <c r="L45" s="3">
        <v>4</v>
      </c>
      <c r="M45" s="3">
        <v>0</v>
      </c>
      <c r="N45" s="3" t="s">
        <v>37</v>
      </c>
      <c r="O45" s="5">
        <v>18296</v>
      </c>
      <c r="P45" s="3" t="s">
        <v>32</v>
      </c>
      <c r="Q45" s="6">
        <v>74.69</v>
      </c>
      <c r="R45" s="7" t="str">
        <f>IF(Q45&gt;=KPI!$E$4,"A",IF(Q45&gt;=KPI!$E$5,"B",IF(Q45&gt;=KPI!$E$6,"C",IF(Q45&gt;=KPI!$E$7,"D","F"))))</f>
        <v>C</v>
      </c>
      <c r="S45" s="7">
        <f t="shared" si="0"/>
        <v>0</v>
      </c>
      <c r="T45" s="6">
        <f t="shared" si="1"/>
        <v>77.45</v>
      </c>
      <c r="U45" s="7">
        <f>RANK(Q45,$Q$2:$Q$251,0)+COUNTIF($Q$2:Q45,Q45)-1</f>
        <v>137</v>
      </c>
      <c r="V45" s="3" t="str">
        <f t="shared" si="2"/>
        <v>STUDENT_044</v>
      </c>
      <c r="W45" s="3" t="str">
        <f t="shared" si="3"/>
        <v>044</v>
      </c>
    </row>
    <row r="46" spans="1:23" x14ac:dyDescent="0.3">
      <c r="A46" s="3" t="s">
        <v>122</v>
      </c>
      <c r="B46" s="3" t="s">
        <v>123</v>
      </c>
      <c r="C46" s="3" t="s">
        <v>43</v>
      </c>
      <c r="D46" s="3" t="s">
        <v>26</v>
      </c>
      <c r="E46" s="3">
        <v>6</v>
      </c>
      <c r="F46" s="4">
        <v>59.5</v>
      </c>
      <c r="G46" s="4">
        <v>2.8</v>
      </c>
      <c r="H46" s="4">
        <v>84</v>
      </c>
      <c r="I46" s="4">
        <v>73.099999999999994</v>
      </c>
      <c r="J46" s="4">
        <v>72.7</v>
      </c>
      <c r="K46" s="3">
        <v>4</v>
      </c>
      <c r="L46" s="3">
        <v>0</v>
      </c>
      <c r="M46" s="3">
        <v>2</v>
      </c>
      <c r="N46" s="3" t="s">
        <v>27</v>
      </c>
      <c r="O46" s="5">
        <v>0</v>
      </c>
      <c r="P46" s="3" t="s">
        <v>32</v>
      </c>
      <c r="Q46" s="6">
        <v>75.08</v>
      </c>
      <c r="R46" s="7" t="str">
        <f>IF(Q46&gt;=KPI!$E$4,"A",IF(Q46&gt;=KPI!$E$5,"B",IF(Q46&gt;=KPI!$E$6,"C",IF(Q46&gt;=KPI!$E$7,"D","F"))))</f>
        <v>B</v>
      </c>
      <c r="S46" s="7">
        <f t="shared" si="0"/>
        <v>0</v>
      </c>
      <c r="T46" s="6">
        <f t="shared" si="1"/>
        <v>72.900000000000006</v>
      </c>
      <c r="U46" s="7">
        <f>RANK(Q46,$Q$2:$Q$251,0)+COUNTIF($Q$2:Q46,Q46)-1</f>
        <v>131</v>
      </c>
      <c r="V46" s="3" t="str">
        <f t="shared" si="2"/>
        <v>STUDENT_045</v>
      </c>
      <c r="W46" s="3" t="str">
        <f t="shared" si="3"/>
        <v>045</v>
      </c>
    </row>
    <row r="47" spans="1:23" x14ac:dyDescent="0.3">
      <c r="A47" s="3" t="s">
        <v>124</v>
      </c>
      <c r="B47" s="3" t="s">
        <v>125</v>
      </c>
      <c r="C47" s="3" t="s">
        <v>40</v>
      </c>
      <c r="D47" s="3" t="s">
        <v>36</v>
      </c>
      <c r="E47" s="3">
        <v>3</v>
      </c>
      <c r="F47" s="4">
        <v>88.2</v>
      </c>
      <c r="G47" s="4">
        <v>6.5</v>
      </c>
      <c r="H47" s="4">
        <v>90.7</v>
      </c>
      <c r="I47" s="4">
        <v>89.2</v>
      </c>
      <c r="J47" s="4">
        <v>97.5</v>
      </c>
      <c r="K47" s="3">
        <v>2</v>
      </c>
      <c r="L47" s="3">
        <v>0</v>
      </c>
      <c r="M47" s="3">
        <v>1</v>
      </c>
      <c r="N47" s="3" t="s">
        <v>37</v>
      </c>
      <c r="O47" s="5">
        <v>17108</v>
      </c>
      <c r="P47" s="3" t="s">
        <v>28</v>
      </c>
      <c r="Q47" s="6">
        <v>93.65</v>
      </c>
      <c r="R47" s="7" t="str">
        <f>IF(Q47&gt;=KPI!$E$4,"A",IF(Q47&gt;=KPI!$E$5,"B",IF(Q47&gt;=KPI!$E$6,"C",IF(Q47&gt;=KPI!$E$7,"D","F"))))</f>
        <v>A</v>
      </c>
      <c r="S47" s="7">
        <f t="shared" si="0"/>
        <v>1</v>
      </c>
      <c r="T47" s="6">
        <f t="shared" si="1"/>
        <v>93.35</v>
      </c>
      <c r="U47" s="7">
        <f>RANK(Q47,$Q$2:$Q$251,0)+COUNTIF($Q$2:Q47,Q47)-1</f>
        <v>1</v>
      </c>
      <c r="V47" s="3" t="str">
        <f t="shared" si="2"/>
        <v>STUDENT_046</v>
      </c>
      <c r="W47" s="3" t="str">
        <f t="shared" si="3"/>
        <v>046</v>
      </c>
    </row>
    <row r="48" spans="1:23" x14ac:dyDescent="0.3">
      <c r="A48" s="3" t="s">
        <v>126</v>
      </c>
      <c r="B48" s="3" t="s">
        <v>127</v>
      </c>
      <c r="C48" s="3" t="s">
        <v>25</v>
      </c>
      <c r="D48" s="3" t="s">
        <v>36</v>
      </c>
      <c r="E48" s="3">
        <v>3</v>
      </c>
      <c r="F48" s="4">
        <v>85.5</v>
      </c>
      <c r="G48" s="4">
        <v>1.6</v>
      </c>
      <c r="H48" s="4">
        <v>100</v>
      </c>
      <c r="I48" s="4">
        <v>61.5</v>
      </c>
      <c r="J48" s="4">
        <v>86</v>
      </c>
      <c r="K48" s="3">
        <v>0</v>
      </c>
      <c r="L48" s="3">
        <v>3</v>
      </c>
      <c r="M48" s="3">
        <v>1</v>
      </c>
      <c r="N48" s="3" t="s">
        <v>27</v>
      </c>
      <c r="O48" s="5">
        <v>0</v>
      </c>
      <c r="P48" s="3" t="s">
        <v>32</v>
      </c>
      <c r="Q48" s="6">
        <v>81.45</v>
      </c>
      <c r="R48" s="7" t="str">
        <f>IF(Q48&gt;=KPI!$E$4,"A",IF(Q48&gt;=KPI!$E$5,"B",IF(Q48&gt;=KPI!$E$6,"C",IF(Q48&gt;=KPI!$E$7,"D","F"))))</f>
        <v>B</v>
      </c>
      <c r="S48" s="7">
        <f t="shared" si="0"/>
        <v>0</v>
      </c>
      <c r="T48" s="6">
        <f t="shared" si="1"/>
        <v>73.75</v>
      </c>
      <c r="U48" s="7">
        <f>RANK(Q48,$Q$2:$Q$251,0)+COUNTIF($Q$2:Q48,Q48)-1</f>
        <v>65</v>
      </c>
      <c r="V48" s="3" t="str">
        <f t="shared" si="2"/>
        <v>STUDENT_047</v>
      </c>
      <c r="W48" s="3" t="str">
        <f t="shared" si="3"/>
        <v>047</v>
      </c>
    </row>
    <row r="49" spans="1:23" x14ac:dyDescent="0.3">
      <c r="A49" s="3" t="s">
        <v>128</v>
      </c>
      <c r="B49" s="3" t="s">
        <v>129</v>
      </c>
      <c r="C49" s="3" t="s">
        <v>40</v>
      </c>
      <c r="D49" s="3" t="s">
        <v>26</v>
      </c>
      <c r="E49" s="3">
        <v>1</v>
      </c>
      <c r="F49" s="4">
        <v>81.2</v>
      </c>
      <c r="G49" s="4">
        <v>6.9</v>
      </c>
      <c r="H49" s="4">
        <v>74.7</v>
      </c>
      <c r="I49" s="4">
        <v>75.2</v>
      </c>
      <c r="J49" s="4">
        <v>75</v>
      </c>
      <c r="K49" s="3">
        <v>2</v>
      </c>
      <c r="L49" s="3">
        <v>2</v>
      </c>
      <c r="M49" s="3">
        <v>0</v>
      </c>
      <c r="N49" s="3" t="s">
        <v>27</v>
      </c>
      <c r="O49" s="5">
        <v>0</v>
      </c>
      <c r="P49" s="3" t="s">
        <v>28</v>
      </c>
      <c r="Q49" s="6">
        <v>75</v>
      </c>
      <c r="R49" s="7" t="str">
        <f>IF(Q49&gt;=KPI!$E$4,"A",IF(Q49&gt;=KPI!$E$5,"B",IF(Q49&gt;=KPI!$E$6,"C",IF(Q49&gt;=KPI!$E$7,"D","F"))))</f>
        <v>B</v>
      </c>
      <c r="S49" s="7">
        <f t="shared" si="0"/>
        <v>1</v>
      </c>
      <c r="T49" s="6">
        <f t="shared" si="1"/>
        <v>75.099999999999994</v>
      </c>
      <c r="U49" s="7">
        <f>RANK(Q49,$Q$2:$Q$251,0)+COUNTIF($Q$2:Q49,Q49)-1</f>
        <v>135</v>
      </c>
      <c r="V49" s="3" t="str">
        <f t="shared" si="2"/>
        <v>STUDENT_048</v>
      </c>
      <c r="W49" s="3" t="str">
        <f t="shared" si="3"/>
        <v>048</v>
      </c>
    </row>
    <row r="50" spans="1:23" x14ac:dyDescent="0.3">
      <c r="A50" s="3" t="s">
        <v>130</v>
      </c>
      <c r="B50" s="3" t="s">
        <v>131</v>
      </c>
      <c r="C50" s="3" t="s">
        <v>40</v>
      </c>
      <c r="D50" s="3" t="s">
        <v>36</v>
      </c>
      <c r="E50" s="3">
        <v>5</v>
      </c>
      <c r="F50" s="4">
        <v>84.1</v>
      </c>
      <c r="G50" s="4">
        <v>2.4</v>
      </c>
      <c r="H50" s="4">
        <v>63.9</v>
      </c>
      <c r="I50" s="4">
        <v>64.599999999999994</v>
      </c>
      <c r="J50" s="4">
        <v>64.2</v>
      </c>
      <c r="K50" s="3">
        <v>5</v>
      </c>
      <c r="L50" s="3">
        <v>4</v>
      </c>
      <c r="M50" s="3">
        <v>0</v>
      </c>
      <c r="N50" s="3" t="s">
        <v>27</v>
      </c>
      <c r="O50" s="5">
        <v>0</v>
      </c>
      <c r="P50" s="3" t="s">
        <v>28</v>
      </c>
      <c r="Q50" s="6">
        <v>64.260000000000005</v>
      </c>
      <c r="R50" s="7" t="str">
        <f>IF(Q50&gt;=KPI!$E$4,"A",IF(Q50&gt;=KPI!$E$5,"B",IF(Q50&gt;=KPI!$E$6,"C",IF(Q50&gt;=KPI!$E$7,"D","F"))))</f>
        <v>D</v>
      </c>
      <c r="S50" s="7">
        <f t="shared" si="0"/>
        <v>1</v>
      </c>
      <c r="T50" s="6">
        <f t="shared" si="1"/>
        <v>64.400000000000006</v>
      </c>
      <c r="U50" s="7">
        <f>RANK(Q50,$Q$2:$Q$251,0)+COUNTIF($Q$2:Q50,Q50)-1</f>
        <v>220</v>
      </c>
      <c r="V50" s="3" t="str">
        <f t="shared" si="2"/>
        <v>STUDENT_049</v>
      </c>
      <c r="W50" s="3" t="str">
        <f t="shared" si="3"/>
        <v>049</v>
      </c>
    </row>
    <row r="51" spans="1:23" x14ac:dyDescent="0.3">
      <c r="A51" s="3" t="s">
        <v>132</v>
      </c>
      <c r="B51" s="3" t="s">
        <v>133</v>
      </c>
      <c r="C51" s="3" t="s">
        <v>43</v>
      </c>
      <c r="D51" s="3" t="s">
        <v>26</v>
      </c>
      <c r="E51" s="3">
        <v>1</v>
      </c>
      <c r="F51" s="4">
        <v>84.5</v>
      </c>
      <c r="G51" s="4">
        <v>4.4000000000000004</v>
      </c>
      <c r="H51" s="4">
        <v>85.8</v>
      </c>
      <c r="I51" s="4">
        <v>77.099999999999994</v>
      </c>
      <c r="J51" s="4">
        <v>83.7</v>
      </c>
      <c r="K51" s="3">
        <v>5</v>
      </c>
      <c r="L51" s="3">
        <v>1</v>
      </c>
      <c r="M51" s="3">
        <v>0</v>
      </c>
      <c r="N51" s="3" t="s">
        <v>27</v>
      </c>
      <c r="O51" s="5">
        <v>0</v>
      </c>
      <c r="P51" s="3" t="s">
        <v>28</v>
      </c>
      <c r="Q51" s="6">
        <v>82.14</v>
      </c>
      <c r="R51" s="7" t="str">
        <f>IF(Q51&gt;=KPI!$E$4,"A",IF(Q51&gt;=KPI!$E$5,"B",IF(Q51&gt;=KPI!$E$6,"C",IF(Q51&gt;=KPI!$E$7,"D","F"))))</f>
        <v>B</v>
      </c>
      <c r="S51" s="7">
        <f t="shared" si="0"/>
        <v>1</v>
      </c>
      <c r="T51" s="6">
        <f t="shared" si="1"/>
        <v>80.400000000000006</v>
      </c>
      <c r="U51" s="7">
        <f>RANK(Q51,$Q$2:$Q$251,0)+COUNTIF($Q$2:Q51,Q51)-1</f>
        <v>61</v>
      </c>
      <c r="V51" s="3" t="str">
        <f t="shared" si="2"/>
        <v>STUDENT_050</v>
      </c>
      <c r="W51" s="3" t="str">
        <f t="shared" si="3"/>
        <v>050</v>
      </c>
    </row>
    <row r="52" spans="1:23" x14ac:dyDescent="0.3">
      <c r="A52" s="3" t="s">
        <v>134</v>
      </c>
      <c r="B52" s="3" t="s">
        <v>135</v>
      </c>
      <c r="C52" s="3" t="s">
        <v>31</v>
      </c>
      <c r="D52" s="3" t="s">
        <v>26</v>
      </c>
      <c r="E52" s="3">
        <v>2</v>
      </c>
      <c r="F52" s="4">
        <v>75.5</v>
      </c>
      <c r="G52" s="4">
        <v>6.7</v>
      </c>
      <c r="H52" s="4">
        <v>61.3</v>
      </c>
      <c r="I52" s="4">
        <v>79.099999999999994</v>
      </c>
      <c r="J52" s="4">
        <v>87.5</v>
      </c>
      <c r="K52" s="3">
        <v>0</v>
      </c>
      <c r="L52" s="3">
        <v>3</v>
      </c>
      <c r="M52" s="3">
        <v>0</v>
      </c>
      <c r="N52" s="3" t="s">
        <v>37</v>
      </c>
      <c r="O52" s="5">
        <v>12751</v>
      </c>
      <c r="P52" s="3" t="s">
        <v>28</v>
      </c>
      <c r="Q52" s="6">
        <v>79.739999999999995</v>
      </c>
      <c r="R52" s="7" t="str">
        <f>IF(Q52&gt;=KPI!$E$4,"A",IF(Q52&gt;=KPI!$E$5,"B",IF(Q52&gt;=KPI!$E$6,"C",IF(Q52&gt;=KPI!$E$7,"D","F"))))</f>
        <v>B</v>
      </c>
      <c r="S52" s="7">
        <f t="shared" si="0"/>
        <v>1</v>
      </c>
      <c r="T52" s="6">
        <f t="shared" si="1"/>
        <v>83.3</v>
      </c>
      <c r="U52" s="7">
        <f>RANK(Q52,$Q$2:$Q$251,0)+COUNTIF($Q$2:Q52,Q52)-1</f>
        <v>85</v>
      </c>
      <c r="V52" s="3" t="str">
        <f t="shared" si="2"/>
        <v>STUDENT_051</v>
      </c>
      <c r="W52" s="3" t="str">
        <f t="shared" si="3"/>
        <v>051</v>
      </c>
    </row>
    <row r="53" spans="1:23" x14ac:dyDescent="0.3">
      <c r="A53" s="3" t="s">
        <v>136</v>
      </c>
      <c r="B53" s="3" t="s">
        <v>137</v>
      </c>
      <c r="C53" s="3" t="s">
        <v>35</v>
      </c>
      <c r="D53" s="3" t="s">
        <v>36</v>
      </c>
      <c r="E53" s="3">
        <v>1</v>
      </c>
      <c r="F53" s="4">
        <v>77.2</v>
      </c>
      <c r="G53" s="4">
        <v>5</v>
      </c>
      <c r="H53" s="4">
        <v>83.3</v>
      </c>
      <c r="I53" s="4">
        <v>80.2</v>
      </c>
      <c r="J53" s="4">
        <v>80.2</v>
      </c>
      <c r="K53" s="3">
        <v>3</v>
      </c>
      <c r="L53" s="3">
        <v>1</v>
      </c>
      <c r="M53" s="3">
        <v>1</v>
      </c>
      <c r="N53" s="3" t="s">
        <v>27</v>
      </c>
      <c r="O53" s="5">
        <v>0</v>
      </c>
      <c r="P53" s="3" t="s">
        <v>28</v>
      </c>
      <c r="Q53" s="6">
        <v>80.819999999999993</v>
      </c>
      <c r="R53" s="7" t="str">
        <f>IF(Q53&gt;=KPI!$E$4,"A",IF(Q53&gt;=KPI!$E$5,"B",IF(Q53&gt;=KPI!$E$6,"C",IF(Q53&gt;=KPI!$E$7,"D","F"))))</f>
        <v>B</v>
      </c>
      <c r="S53" s="7">
        <f t="shared" si="0"/>
        <v>1</v>
      </c>
      <c r="T53" s="6">
        <f t="shared" si="1"/>
        <v>80.2</v>
      </c>
      <c r="U53" s="7">
        <f>RANK(Q53,$Q$2:$Q$251,0)+COUNTIF($Q$2:Q53,Q53)-1</f>
        <v>74</v>
      </c>
      <c r="V53" s="3" t="str">
        <f t="shared" si="2"/>
        <v>STUDENT_052</v>
      </c>
      <c r="W53" s="3" t="str">
        <f t="shared" si="3"/>
        <v>052</v>
      </c>
    </row>
    <row r="54" spans="1:23" x14ac:dyDescent="0.3">
      <c r="A54" s="3" t="s">
        <v>138</v>
      </c>
      <c r="B54" s="3" t="s">
        <v>139</v>
      </c>
      <c r="C54" s="3" t="s">
        <v>31</v>
      </c>
      <c r="D54" s="3" t="s">
        <v>36</v>
      </c>
      <c r="E54" s="3">
        <v>3</v>
      </c>
      <c r="F54" s="4">
        <v>86.8</v>
      </c>
      <c r="G54" s="4">
        <v>6.3</v>
      </c>
      <c r="H54" s="4">
        <v>69.5</v>
      </c>
      <c r="I54" s="4">
        <v>57</v>
      </c>
      <c r="J54" s="4">
        <v>81.400000000000006</v>
      </c>
      <c r="K54" s="3">
        <v>2</v>
      </c>
      <c r="L54" s="3">
        <v>3</v>
      </c>
      <c r="M54" s="3">
        <v>1</v>
      </c>
      <c r="N54" s="3" t="s">
        <v>27</v>
      </c>
      <c r="O54" s="5">
        <v>0</v>
      </c>
      <c r="P54" s="3" t="s">
        <v>28</v>
      </c>
      <c r="Q54" s="6">
        <v>71.7</v>
      </c>
      <c r="R54" s="7" t="str">
        <f>IF(Q54&gt;=KPI!$E$4,"A",IF(Q54&gt;=KPI!$E$5,"B",IF(Q54&gt;=KPI!$E$6,"C",IF(Q54&gt;=KPI!$E$7,"D","F"))))</f>
        <v>C</v>
      </c>
      <c r="S54" s="7">
        <f t="shared" si="0"/>
        <v>1</v>
      </c>
      <c r="T54" s="6">
        <f t="shared" si="1"/>
        <v>69.2</v>
      </c>
      <c r="U54" s="7">
        <f>RANK(Q54,$Q$2:$Q$251,0)+COUNTIF($Q$2:Q54,Q54)-1</f>
        <v>165</v>
      </c>
      <c r="V54" s="3" t="str">
        <f t="shared" si="2"/>
        <v>STUDENT_053</v>
      </c>
      <c r="W54" s="3" t="str">
        <f t="shared" si="3"/>
        <v>053</v>
      </c>
    </row>
    <row r="55" spans="1:23" x14ac:dyDescent="0.3">
      <c r="A55" s="3" t="s">
        <v>140</v>
      </c>
      <c r="B55" s="3" t="s">
        <v>141</v>
      </c>
      <c r="C55" s="3" t="s">
        <v>31</v>
      </c>
      <c r="D55" s="3" t="s">
        <v>36</v>
      </c>
      <c r="E55" s="3">
        <v>7</v>
      </c>
      <c r="F55" s="4">
        <v>83.9</v>
      </c>
      <c r="G55" s="4">
        <v>5.9</v>
      </c>
      <c r="H55" s="4">
        <v>78.8</v>
      </c>
      <c r="I55" s="4">
        <v>59.5</v>
      </c>
      <c r="J55" s="4">
        <v>61.5</v>
      </c>
      <c r="K55" s="3">
        <v>3</v>
      </c>
      <c r="L55" s="3">
        <v>2</v>
      </c>
      <c r="M55" s="3">
        <v>0</v>
      </c>
      <c r="N55" s="3" t="s">
        <v>37</v>
      </c>
      <c r="O55" s="5">
        <v>5271</v>
      </c>
      <c r="P55" s="3" t="s">
        <v>32</v>
      </c>
      <c r="Q55" s="6">
        <v>64.36</v>
      </c>
      <c r="R55" s="7" t="str">
        <f>IF(Q55&gt;=KPI!$E$4,"A",IF(Q55&gt;=KPI!$E$5,"B",IF(Q55&gt;=KPI!$E$6,"C",IF(Q55&gt;=KPI!$E$7,"D","F"))))</f>
        <v>D</v>
      </c>
      <c r="S55" s="7">
        <f t="shared" si="0"/>
        <v>0</v>
      </c>
      <c r="T55" s="6">
        <f t="shared" si="1"/>
        <v>60.5</v>
      </c>
      <c r="U55" s="7">
        <f>RANK(Q55,$Q$2:$Q$251,0)+COUNTIF($Q$2:Q55,Q55)-1</f>
        <v>217</v>
      </c>
      <c r="V55" s="3" t="str">
        <f t="shared" si="2"/>
        <v>STUDENT_054</v>
      </c>
      <c r="W55" s="3" t="str">
        <f t="shared" si="3"/>
        <v>054</v>
      </c>
    </row>
    <row r="56" spans="1:23" x14ac:dyDescent="0.3">
      <c r="A56" s="3" t="s">
        <v>142</v>
      </c>
      <c r="B56" s="3" t="s">
        <v>143</v>
      </c>
      <c r="C56" s="3" t="s">
        <v>40</v>
      </c>
      <c r="D56" s="3" t="s">
        <v>36</v>
      </c>
      <c r="E56" s="3">
        <v>1</v>
      </c>
      <c r="F56" s="4">
        <v>100</v>
      </c>
      <c r="G56" s="4">
        <v>7.1</v>
      </c>
      <c r="H56" s="4">
        <v>90.2</v>
      </c>
      <c r="I56" s="4">
        <v>62.1</v>
      </c>
      <c r="J56" s="4">
        <v>75.900000000000006</v>
      </c>
      <c r="K56" s="3">
        <v>3</v>
      </c>
      <c r="L56" s="3">
        <v>2</v>
      </c>
      <c r="M56" s="3">
        <v>2</v>
      </c>
      <c r="N56" s="3" t="s">
        <v>27</v>
      </c>
      <c r="O56" s="5">
        <v>0</v>
      </c>
      <c r="P56" s="3" t="s">
        <v>32</v>
      </c>
      <c r="Q56" s="6">
        <v>74.62</v>
      </c>
      <c r="R56" s="7" t="str">
        <f>IF(Q56&gt;=KPI!$E$4,"A",IF(Q56&gt;=KPI!$E$5,"B",IF(Q56&gt;=KPI!$E$6,"C",IF(Q56&gt;=KPI!$E$7,"D","F"))))</f>
        <v>C</v>
      </c>
      <c r="S56" s="7">
        <f t="shared" si="0"/>
        <v>0</v>
      </c>
      <c r="T56" s="6">
        <f t="shared" si="1"/>
        <v>69</v>
      </c>
      <c r="U56" s="7">
        <f>RANK(Q56,$Q$2:$Q$251,0)+COUNTIF($Q$2:Q56,Q56)-1</f>
        <v>138</v>
      </c>
      <c r="V56" s="3" t="str">
        <f t="shared" si="2"/>
        <v>STUDENT_055</v>
      </c>
      <c r="W56" s="3" t="str">
        <f t="shared" si="3"/>
        <v>055</v>
      </c>
    </row>
    <row r="57" spans="1:23" x14ac:dyDescent="0.3">
      <c r="A57" s="3" t="s">
        <v>144</v>
      </c>
      <c r="B57" s="3" t="s">
        <v>145</v>
      </c>
      <c r="C57" s="3" t="s">
        <v>31</v>
      </c>
      <c r="D57" s="3" t="s">
        <v>36</v>
      </c>
      <c r="E57" s="3">
        <v>5</v>
      </c>
      <c r="F57" s="4">
        <v>96.6</v>
      </c>
      <c r="G57" s="4">
        <v>6.7</v>
      </c>
      <c r="H57" s="4">
        <v>74.599999999999994</v>
      </c>
      <c r="I57" s="4">
        <v>68.7</v>
      </c>
      <c r="J57" s="4">
        <v>84.7</v>
      </c>
      <c r="K57" s="3">
        <v>1</v>
      </c>
      <c r="L57" s="3">
        <v>2</v>
      </c>
      <c r="M57" s="3">
        <v>0</v>
      </c>
      <c r="N57" s="3" t="s">
        <v>37</v>
      </c>
      <c r="O57" s="5">
        <v>15107</v>
      </c>
      <c r="P57" s="3" t="s">
        <v>32</v>
      </c>
      <c r="Q57" s="6">
        <v>77.88</v>
      </c>
      <c r="R57" s="7" t="str">
        <f>IF(Q57&gt;=KPI!$E$4,"A",IF(Q57&gt;=KPI!$E$5,"B",IF(Q57&gt;=KPI!$E$6,"C",IF(Q57&gt;=KPI!$E$7,"D","F"))))</f>
        <v>B</v>
      </c>
      <c r="S57" s="7">
        <f t="shared" si="0"/>
        <v>0</v>
      </c>
      <c r="T57" s="6">
        <f t="shared" si="1"/>
        <v>76.7</v>
      </c>
      <c r="U57" s="7">
        <f>RANK(Q57,$Q$2:$Q$251,0)+COUNTIF($Q$2:Q57,Q57)-1</f>
        <v>98</v>
      </c>
      <c r="V57" s="3" t="str">
        <f t="shared" si="2"/>
        <v>STUDENT_056</v>
      </c>
      <c r="W57" s="3" t="str">
        <f t="shared" si="3"/>
        <v>056</v>
      </c>
    </row>
    <row r="58" spans="1:23" x14ac:dyDescent="0.3">
      <c r="A58" s="3" t="s">
        <v>146</v>
      </c>
      <c r="B58" s="3" t="s">
        <v>147</v>
      </c>
      <c r="C58" s="3" t="s">
        <v>43</v>
      </c>
      <c r="D58" s="3" t="s">
        <v>36</v>
      </c>
      <c r="E58" s="3">
        <v>8</v>
      </c>
      <c r="F58" s="4">
        <v>90.4</v>
      </c>
      <c r="G58" s="4">
        <v>4</v>
      </c>
      <c r="H58" s="4">
        <v>88.1</v>
      </c>
      <c r="I58" s="4">
        <v>73.2</v>
      </c>
      <c r="J58" s="4">
        <v>71.2</v>
      </c>
      <c r="K58" s="3">
        <v>0</v>
      </c>
      <c r="L58" s="3">
        <v>2</v>
      </c>
      <c r="M58" s="3">
        <v>0</v>
      </c>
      <c r="N58" s="3" t="s">
        <v>27</v>
      </c>
      <c r="O58" s="5">
        <v>0</v>
      </c>
      <c r="P58" s="3" t="s">
        <v>28</v>
      </c>
      <c r="Q58" s="6">
        <v>75.180000000000007</v>
      </c>
      <c r="R58" s="7" t="str">
        <f>IF(Q58&gt;=KPI!$E$4,"A",IF(Q58&gt;=KPI!$E$5,"B",IF(Q58&gt;=KPI!$E$6,"C",IF(Q58&gt;=KPI!$E$7,"D","F"))))</f>
        <v>B</v>
      </c>
      <c r="S58" s="7">
        <f t="shared" si="0"/>
        <v>1</v>
      </c>
      <c r="T58" s="6">
        <f t="shared" si="1"/>
        <v>72.2</v>
      </c>
      <c r="U58" s="7">
        <f>RANK(Q58,$Q$2:$Q$251,0)+COUNTIF($Q$2:Q58,Q58)-1</f>
        <v>128</v>
      </c>
      <c r="V58" s="3" t="str">
        <f t="shared" si="2"/>
        <v>STUDENT_057</v>
      </c>
      <c r="W58" s="3" t="str">
        <f t="shared" si="3"/>
        <v>057</v>
      </c>
    </row>
    <row r="59" spans="1:23" x14ac:dyDescent="0.3">
      <c r="A59" s="3" t="s">
        <v>148</v>
      </c>
      <c r="B59" s="3" t="s">
        <v>149</v>
      </c>
      <c r="C59" s="3" t="s">
        <v>43</v>
      </c>
      <c r="D59" s="3" t="s">
        <v>26</v>
      </c>
      <c r="E59" s="3">
        <v>7</v>
      </c>
      <c r="F59" s="4">
        <v>75.099999999999994</v>
      </c>
      <c r="G59" s="4">
        <v>5.9</v>
      </c>
      <c r="H59" s="4">
        <v>87.4</v>
      </c>
      <c r="I59" s="4">
        <v>81.900000000000006</v>
      </c>
      <c r="J59" s="4">
        <v>77.3</v>
      </c>
      <c r="K59" s="3">
        <v>4</v>
      </c>
      <c r="L59" s="3">
        <v>0</v>
      </c>
      <c r="M59" s="3">
        <v>0</v>
      </c>
      <c r="N59" s="3" t="s">
        <v>37</v>
      </c>
      <c r="O59" s="5">
        <v>6461</v>
      </c>
      <c r="P59" s="3" t="s">
        <v>28</v>
      </c>
      <c r="Q59" s="6">
        <v>80.7</v>
      </c>
      <c r="R59" s="7" t="str">
        <f>IF(Q59&gt;=KPI!$E$4,"A",IF(Q59&gt;=KPI!$E$5,"B",IF(Q59&gt;=KPI!$E$6,"C",IF(Q59&gt;=KPI!$E$7,"D","F"))))</f>
        <v>B</v>
      </c>
      <c r="S59" s="7">
        <f t="shared" si="0"/>
        <v>1</v>
      </c>
      <c r="T59" s="6">
        <f t="shared" si="1"/>
        <v>79.599999999999994</v>
      </c>
      <c r="U59" s="7">
        <f>RANK(Q59,$Q$2:$Q$251,0)+COUNTIF($Q$2:Q59,Q59)-1</f>
        <v>76</v>
      </c>
      <c r="V59" s="3" t="str">
        <f t="shared" si="2"/>
        <v>STUDENT_058</v>
      </c>
      <c r="W59" s="3" t="str">
        <f t="shared" si="3"/>
        <v>058</v>
      </c>
    </row>
    <row r="60" spans="1:23" x14ac:dyDescent="0.3">
      <c r="A60" s="3" t="s">
        <v>150</v>
      </c>
      <c r="B60" s="3" t="s">
        <v>151</v>
      </c>
      <c r="C60" s="3" t="s">
        <v>43</v>
      </c>
      <c r="D60" s="3" t="s">
        <v>36</v>
      </c>
      <c r="E60" s="3">
        <v>6</v>
      </c>
      <c r="F60" s="4">
        <v>76.900000000000006</v>
      </c>
      <c r="G60" s="4">
        <v>2.1</v>
      </c>
      <c r="H60" s="4">
        <v>51.8</v>
      </c>
      <c r="I60" s="4">
        <v>60.1</v>
      </c>
      <c r="J60" s="4">
        <v>55.9</v>
      </c>
      <c r="K60" s="3">
        <v>5</v>
      </c>
      <c r="L60" s="3">
        <v>0</v>
      </c>
      <c r="M60" s="3">
        <v>3</v>
      </c>
      <c r="N60" s="3" t="s">
        <v>27</v>
      </c>
      <c r="O60" s="5">
        <v>0</v>
      </c>
      <c r="P60" s="3" t="s">
        <v>28</v>
      </c>
      <c r="Q60" s="6">
        <v>56.34</v>
      </c>
      <c r="R60" s="7" t="str">
        <f>IF(Q60&gt;=KPI!$E$4,"A",IF(Q60&gt;=KPI!$E$5,"B",IF(Q60&gt;=KPI!$E$6,"C",IF(Q60&gt;=KPI!$E$7,"D","F"))))</f>
        <v>D</v>
      </c>
      <c r="S60" s="7">
        <f t="shared" si="0"/>
        <v>1</v>
      </c>
      <c r="T60" s="6">
        <f t="shared" si="1"/>
        <v>58</v>
      </c>
      <c r="U60" s="7">
        <f>RANK(Q60,$Q$2:$Q$251,0)+COUNTIF($Q$2:Q60,Q60)-1</f>
        <v>246</v>
      </c>
      <c r="V60" s="3" t="str">
        <f t="shared" si="2"/>
        <v>STUDENT_059</v>
      </c>
      <c r="W60" s="3" t="str">
        <f t="shared" si="3"/>
        <v>059</v>
      </c>
    </row>
    <row r="61" spans="1:23" x14ac:dyDescent="0.3">
      <c r="A61" s="3" t="s">
        <v>152</v>
      </c>
      <c r="B61" s="3" t="s">
        <v>153</v>
      </c>
      <c r="C61" s="3" t="s">
        <v>25</v>
      </c>
      <c r="D61" s="3" t="s">
        <v>26</v>
      </c>
      <c r="E61" s="3">
        <v>4</v>
      </c>
      <c r="F61" s="4">
        <v>73</v>
      </c>
      <c r="G61" s="4">
        <v>4.7</v>
      </c>
      <c r="H61" s="4">
        <v>64.3</v>
      </c>
      <c r="I61" s="4">
        <v>49.6</v>
      </c>
      <c r="J61" s="4">
        <v>67.8</v>
      </c>
      <c r="K61" s="3">
        <v>5</v>
      </c>
      <c r="L61" s="3">
        <v>4</v>
      </c>
      <c r="M61" s="3">
        <v>0</v>
      </c>
      <c r="N61" s="3" t="s">
        <v>27</v>
      </c>
      <c r="O61" s="5">
        <v>0</v>
      </c>
      <c r="P61" s="3" t="s">
        <v>32</v>
      </c>
      <c r="Q61" s="6">
        <v>61.64</v>
      </c>
      <c r="R61" s="7" t="str">
        <f>IF(Q61&gt;=KPI!$E$4,"A",IF(Q61&gt;=KPI!$E$5,"B",IF(Q61&gt;=KPI!$E$6,"C",IF(Q61&gt;=KPI!$E$7,"D","F"))))</f>
        <v>D</v>
      </c>
      <c r="S61" s="7">
        <f t="shared" si="0"/>
        <v>0</v>
      </c>
      <c r="T61" s="6">
        <f t="shared" si="1"/>
        <v>58.7</v>
      </c>
      <c r="U61" s="7">
        <f>RANK(Q61,$Q$2:$Q$251,0)+COUNTIF($Q$2:Q61,Q61)-1</f>
        <v>234</v>
      </c>
      <c r="V61" s="3" t="str">
        <f t="shared" si="2"/>
        <v>STUDENT_060</v>
      </c>
      <c r="W61" s="3" t="str">
        <f t="shared" si="3"/>
        <v>060</v>
      </c>
    </row>
    <row r="62" spans="1:23" x14ac:dyDescent="0.3">
      <c r="A62" s="3" t="s">
        <v>154</v>
      </c>
      <c r="B62" s="3" t="s">
        <v>155</v>
      </c>
      <c r="C62" s="3" t="s">
        <v>25</v>
      </c>
      <c r="D62" s="3" t="s">
        <v>26</v>
      </c>
      <c r="E62" s="3">
        <v>1</v>
      </c>
      <c r="F62" s="4">
        <v>84.5</v>
      </c>
      <c r="G62" s="4">
        <v>6.3</v>
      </c>
      <c r="H62" s="4">
        <v>55.7</v>
      </c>
      <c r="I62" s="4"/>
      <c r="J62" s="4">
        <v>75.2</v>
      </c>
      <c r="K62" s="3">
        <v>0</v>
      </c>
      <c r="L62" s="3">
        <v>1</v>
      </c>
      <c r="M62" s="3">
        <v>2</v>
      </c>
      <c r="N62" s="3" t="s">
        <v>27</v>
      </c>
      <c r="O62" s="5">
        <v>0</v>
      </c>
      <c r="P62" s="3" t="s">
        <v>32</v>
      </c>
      <c r="Q62" s="6">
        <v>78.739999999999995</v>
      </c>
      <c r="R62" s="7" t="str">
        <f>IF(Q62&gt;=KPI!$E$4,"A",IF(Q62&gt;=KPI!$E$5,"B",IF(Q62&gt;=KPI!$E$6,"C",IF(Q62&gt;=KPI!$E$7,"D","F"))))</f>
        <v>B</v>
      </c>
      <c r="S62" s="7">
        <f t="shared" si="0"/>
        <v>0</v>
      </c>
      <c r="T62" s="6">
        <f t="shared" si="1"/>
        <v>75.2</v>
      </c>
      <c r="U62" s="7">
        <f>RANK(Q62,$Q$2:$Q$251,0)+COUNTIF($Q$2:Q62,Q62)-1</f>
        <v>95</v>
      </c>
      <c r="V62" s="3" t="str">
        <f t="shared" si="2"/>
        <v>STUDENT_061</v>
      </c>
      <c r="W62" s="3" t="str">
        <f t="shared" si="3"/>
        <v>061</v>
      </c>
    </row>
    <row r="63" spans="1:23" x14ac:dyDescent="0.3">
      <c r="A63" s="3" t="s">
        <v>156</v>
      </c>
      <c r="B63" s="3" t="s">
        <v>157</v>
      </c>
      <c r="C63" s="3" t="s">
        <v>43</v>
      </c>
      <c r="D63" s="3" t="s">
        <v>26</v>
      </c>
      <c r="E63" s="3">
        <v>5</v>
      </c>
      <c r="F63" s="4">
        <v>57.3</v>
      </c>
      <c r="G63" s="4">
        <v>5</v>
      </c>
      <c r="H63" s="4">
        <v>100</v>
      </c>
      <c r="I63" s="4">
        <v>56.2</v>
      </c>
      <c r="J63" s="4">
        <v>72.900000000000006</v>
      </c>
      <c r="K63" s="3">
        <v>4</v>
      </c>
      <c r="L63" s="3">
        <v>3</v>
      </c>
      <c r="M63" s="3">
        <v>1</v>
      </c>
      <c r="N63" s="3" t="s">
        <v>27</v>
      </c>
      <c r="O63" s="5">
        <v>0</v>
      </c>
      <c r="P63" s="3" t="s">
        <v>32</v>
      </c>
      <c r="Q63" s="6">
        <v>73.31</v>
      </c>
      <c r="R63" s="7" t="str">
        <f>IF(Q63&gt;=KPI!$E$4,"A",IF(Q63&gt;=KPI!$E$5,"B",IF(Q63&gt;=KPI!$E$6,"C",IF(Q63&gt;=KPI!$E$7,"D","F"))))</f>
        <v>C</v>
      </c>
      <c r="S63" s="7">
        <f t="shared" si="0"/>
        <v>0</v>
      </c>
      <c r="T63" s="6">
        <f t="shared" si="1"/>
        <v>64.550000000000011</v>
      </c>
      <c r="U63" s="7">
        <f>RANK(Q63,$Q$2:$Q$251,0)+COUNTIF($Q$2:Q63,Q63)-1</f>
        <v>149</v>
      </c>
      <c r="V63" s="3" t="str">
        <f t="shared" si="2"/>
        <v>STUDENT_062</v>
      </c>
      <c r="W63" s="3" t="str">
        <f t="shared" si="3"/>
        <v>062</v>
      </c>
    </row>
    <row r="64" spans="1:23" x14ac:dyDescent="0.3">
      <c r="A64" s="3" t="s">
        <v>158</v>
      </c>
      <c r="B64" s="3" t="s">
        <v>159</v>
      </c>
      <c r="C64" s="3" t="s">
        <v>35</v>
      </c>
      <c r="D64" s="3" t="s">
        <v>26</v>
      </c>
      <c r="E64" s="3">
        <v>7</v>
      </c>
      <c r="F64" s="4">
        <v>77.900000000000006</v>
      </c>
      <c r="G64" s="4">
        <v>5.6</v>
      </c>
      <c r="H64" s="4">
        <v>74.599999999999994</v>
      </c>
      <c r="I64" s="4">
        <v>83.7</v>
      </c>
      <c r="J64" s="4">
        <v>90.3</v>
      </c>
      <c r="K64" s="3">
        <v>5</v>
      </c>
      <c r="L64" s="3">
        <v>3</v>
      </c>
      <c r="M64" s="3">
        <v>0</v>
      </c>
      <c r="N64" s="3" t="s">
        <v>37</v>
      </c>
      <c r="O64" s="5">
        <v>15120</v>
      </c>
      <c r="P64" s="3" t="s">
        <v>28</v>
      </c>
      <c r="Q64" s="6">
        <v>85.18</v>
      </c>
      <c r="R64" s="7" t="str">
        <f>IF(Q64&gt;=KPI!$E$4,"A",IF(Q64&gt;=KPI!$E$5,"B",IF(Q64&gt;=KPI!$E$6,"C",IF(Q64&gt;=KPI!$E$7,"D","F"))))</f>
        <v>A</v>
      </c>
      <c r="S64" s="7">
        <f t="shared" si="0"/>
        <v>1</v>
      </c>
      <c r="T64" s="6">
        <f t="shared" si="1"/>
        <v>87</v>
      </c>
      <c r="U64" s="7">
        <f>RANK(Q64,$Q$2:$Q$251,0)+COUNTIF($Q$2:Q64,Q64)-1</f>
        <v>33</v>
      </c>
      <c r="V64" s="3" t="str">
        <f t="shared" si="2"/>
        <v>STUDENT_063</v>
      </c>
      <c r="W64" s="3" t="str">
        <f t="shared" si="3"/>
        <v>063</v>
      </c>
    </row>
    <row r="65" spans="1:23" x14ac:dyDescent="0.3">
      <c r="A65" s="3" t="s">
        <v>160</v>
      </c>
      <c r="B65" s="3" t="s">
        <v>161</v>
      </c>
      <c r="C65" s="3" t="s">
        <v>25</v>
      </c>
      <c r="D65" s="3" t="s">
        <v>36</v>
      </c>
      <c r="E65" s="3">
        <v>5</v>
      </c>
      <c r="F65" s="4">
        <v>79.2</v>
      </c>
      <c r="G65" s="4">
        <v>4.4000000000000004</v>
      </c>
      <c r="H65" s="4">
        <v>99.2</v>
      </c>
      <c r="I65" s="4">
        <v>72.400000000000006</v>
      </c>
      <c r="J65" s="4">
        <v>80.7</v>
      </c>
      <c r="K65" s="3">
        <v>0</v>
      </c>
      <c r="L65" s="3">
        <v>0</v>
      </c>
      <c r="M65" s="3">
        <v>0</v>
      </c>
      <c r="N65" s="3" t="s">
        <v>27</v>
      </c>
      <c r="O65" s="5">
        <v>0</v>
      </c>
      <c r="P65" s="3" t="s">
        <v>28</v>
      </c>
      <c r="Q65" s="6">
        <v>81.91</v>
      </c>
      <c r="R65" s="7" t="str">
        <f>IF(Q65&gt;=KPI!$E$4,"A",IF(Q65&gt;=KPI!$E$5,"B",IF(Q65&gt;=KPI!$E$6,"C",IF(Q65&gt;=KPI!$E$7,"D","F"))))</f>
        <v>B</v>
      </c>
      <c r="S65" s="7">
        <f t="shared" si="0"/>
        <v>1</v>
      </c>
      <c r="T65" s="6">
        <f t="shared" si="1"/>
        <v>76.550000000000011</v>
      </c>
      <c r="U65" s="7">
        <f>RANK(Q65,$Q$2:$Q$251,0)+COUNTIF($Q$2:Q65,Q65)-1</f>
        <v>63</v>
      </c>
      <c r="V65" s="3" t="str">
        <f t="shared" si="2"/>
        <v>STUDENT_064</v>
      </c>
      <c r="W65" s="3" t="str">
        <f t="shared" si="3"/>
        <v>064</v>
      </c>
    </row>
    <row r="66" spans="1:23" x14ac:dyDescent="0.3">
      <c r="A66" s="3" t="s">
        <v>162</v>
      </c>
      <c r="B66" s="3" t="s">
        <v>163</v>
      </c>
      <c r="C66" s="3" t="s">
        <v>25</v>
      </c>
      <c r="D66" s="3" t="s">
        <v>36</v>
      </c>
      <c r="E66" s="3">
        <v>6</v>
      </c>
      <c r="F66" s="4">
        <v>68.3</v>
      </c>
      <c r="G66" s="4">
        <v>6.8</v>
      </c>
      <c r="H66" s="4">
        <v>54.8</v>
      </c>
      <c r="I66" s="4">
        <v>75.5</v>
      </c>
      <c r="J66" s="4">
        <v>72.400000000000006</v>
      </c>
      <c r="K66" s="3">
        <v>5</v>
      </c>
      <c r="L66" s="3">
        <v>3</v>
      </c>
      <c r="M66" s="3">
        <v>2</v>
      </c>
      <c r="N66" s="3" t="s">
        <v>37</v>
      </c>
      <c r="O66" s="5">
        <v>13283</v>
      </c>
      <c r="P66" s="3" t="s">
        <v>32</v>
      </c>
      <c r="Q66" s="6">
        <v>69.81</v>
      </c>
      <c r="R66" s="7" t="str">
        <f>IF(Q66&gt;=KPI!$E$4,"A",IF(Q66&gt;=KPI!$E$5,"B",IF(Q66&gt;=KPI!$E$6,"C",IF(Q66&gt;=KPI!$E$7,"D","F"))))</f>
        <v>C</v>
      </c>
      <c r="S66" s="7">
        <f t="shared" ref="S66:S129" si="4">IF(P66="Placed",1,0)</f>
        <v>0</v>
      </c>
      <c r="T66" s="6">
        <f t="shared" ref="T66:T129" si="5">IFERROR(AVERAGE(I66:J66),0)</f>
        <v>73.95</v>
      </c>
      <c r="U66" s="7">
        <f>RANK(Q66,$Q$2:$Q$251,0)+COUNTIF($Q$2:Q66,Q66)-1</f>
        <v>189</v>
      </c>
      <c r="V66" s="3" t="str">
        <f t="shared" ref="V66:V129" si="6">UPPER(B66)</f>
        <v>STUDENT_065</v>
      </c>
      <c r="W66" s="3" t="str">
        <f t="shared" ref="W66:W129" si="7">IFERROR(MID(B66,FIND("_",B66)+1,LEN(B66)),B66)</f>
        <v>065</v>
      </c>
    </row>
    <row r="67" spans="1:23" x14ac:dyDescent="0.3">
      <c r="A67" s="3" t="s">
        <v>164</v>
      </c>
      <c r="B67" s="3" t="s">
        <v>165</v>
      </c>
      <c r="C67" s="3" t="s">
        <v>40</v>
      </c>
      <c r="D67" s="3" t="s">
        <v>36</v>
      </c>
      <c r="E67" s="3">
        <v>3</v>
      </c>
      <c r="F67" s="4">
        <v>89.2</v>
      </c>
      <c r="G67" s="4"/>
      <c r="H67" s="4">
        <v>68.599999999999994</v>
      </c>
      <c r="I67" s="4">
        <v>72</v>
      </c>
      <c r="J67" s="4">
        <v>79.599999999999994</v>
      </c>
      <c r="K67" s="3">
        <v>3</v>
      </c>
      <c r="L67" s="3">
        <v>0</v>
      </c>
      <c r="M67" s="3">
        <v>0</v>
      </c>
      <c r="N67" s="3" t="s">
        <v>27</v>
      </c>
      <c r="O67" s="5">
        <v>0</v>
      </c>
      <c r="P67" s="3" t="s">
        <v>28</v>
      </c>
      <c r="Q67" s="6">
        <v>75.12</v>
      </c>
      <c r="R67" s="7" t="str">
        <f>IF(Q67&gt;=KPI!$E$4,"A",IF(Q67&gt;=KPI!$E$5,"B",IF(Q67&gt;=KPI!$E$6,"C",IF(Q67&gt;=KPI!$E$7,"D","F"))))</f>
        <v>B</v>
      </c>
      <c r="S67" s="7">
        <f t="shared" si="4"/>
        <v>1</v>
      </c>
      <c r="T67" s="6">
        <f t="shared" si="5"/>
        <v>75.8</v>
      </c>
      <c r="U67" s="7">
        <f>RANK(Q67,$Q$2:$Q$251,0)+COUNTIF($Q$2:Q67,Q67)-1</f>
        <v>129</v>
      </c>
      <c r="V67" s="3" t="str">
        <f t="shared" si="6"/>
        <v>STUDENT_066</v>
      </c>
      <c r="W67" s="3" t="str">
        <f t="shared" si="7"/>
        <v>066</v>
      </c>
    </row>
    <row r="68" spans="1:23" x14ac:dyDescent="0.3">
      <c r="A68" s="3" t="s">
        <v>166</v>
      </c>
      <c r="B68" s="3" t="s">
        <v>167</v>
      </c>
      <c r="C68" s="3" t="s">
        <v>43</v>
      </c>
      <c r="D68" s="3" t="s">
        <v>26</v>
      </c>
      <c r="E68" s="3">
        <v>5</v>
      </c>
      <c r="F68" s="4">
        <v>71.7</v>
      </c>
      <c r="G68" s="4">
        <v>4</v>
      </c>
      <c r="H68" s="4">
        <v>86.4</v>
      </c>
      <c r="I68" s="4">
        <v>66.599999999999994</v>
      </c>
      <c r="J68" s="4">
        <v>72.599999999999994</v>
      </c>
      <c r="K68" s="3">
        <v>2</v>
      </c>
      <c r="L68" s="3">
        <v>4</v>
      </c>
      <c r="M68" s="3">
        <v>2</v>
      </c>
      <c r="N68" s="3" t="s">
        <v>27</v>
      </c>
      <c r="O68" s="5">
        <v>0</v>
      </c>
      <c r="P68" s="3" t="s">
        <v>28</v>
      </c>
      <c r="Q68" s="6">
        <v>73.56</v>
      </c>
      <c r="R68" s="7" t="str">
        <f>IF(Q68&gt;=KPI!$E$4,"A",IF(Q68&gt;=KPI!$E$5,"B",IF(Q68&gt;=KPI!$E$6,"C",IF(Q68&gt;=KPI!$E$7,"D","F"))))</f>
        <v>C</v>
      </c>
      <c r="S68" s="7">
        <f t="shared" si="4"/>
        <v>1</v>
      </c>
      <c r="T68" s="6">
        <f t="shared" si="5"/>
        <v>69.599999999999994</v>
      </c>
      <c r="U68" s="7">
        <f>RANK(Q68,$Q$2:$Q$251,0)+COUNTIF($Q$2:Q68,Q68)-1</f>
        <v>145</v>
      </c>
      <c r="V68" s="3" t="str">
        <f t="shared" si="6"/>
        <v>STUDENT_067</v>
      </c>
      <c r="W68" s="3" t="str">
        <f t="shared" si="7"/>
        <v>067</v>
      </c>
    </row>
    <row r="69" spans="1:23" x14ac:dyDescent="0.3">
      <c r="A69" s="3" t="s">
        <v>168</v>
      </c>
      <c r="B69" s="3" t="s">
        <v>169</v>
      </c>
      <c r="C69" s="3" t="s">
        <v>35</v>
      </c>
      <c r="D69" s="3" t="s">
        <v>26</v>
      </c>
      <c r="E69" s="3">
        <v>7</v>
      </c>
      <c r="F69" s="4">
        <v>84.4</v>
      </c>
      <c r="G69" s="4">
        <v>6.4</v>
      </c>
      <c r="H69" s="4">
        <v>78.3</v>
      </c>
      <c r="I69" s="4">
        <v>78.5</v>
      </c>
      <c r="J69" s="4">
        <v>94.3</v>
      </c>
      <c r="K69" s="3">
        <v>2</v>
      </c>
      <c r="L69" s="3">
        <v>1</v>
      </c>
      <c r="M69" s="3">
        <v>3</v>
      </c>
      <c r="N69" s="3" t="s">
        <v>27</v>
      </c>
      <c r="O69" s="5">
        <v>0</v>
      </c>
      <c r="P69" s="3" t="s">
        <v>32</v>
      </c>
      <c r="Q69" s="6">
        <v>86.36</v>
      </c>
      <c r="R69" s="7" t="str">
        <f>IF(Q69&gt;=KPI!$E$4,"A",IF(Q69&gt;=KPI!$E$5,"B",IF(Q69&gt;=KPI!$E$6,"C",IF(Q69&gt;=KPI!$E$7,"D","F"))))</f>
        <v>A</v>
      </c>
      <c r="S69" s="7">
        <f t="shared" si="4"/>
        <v>0</v>
      </c>
      <c r="T69" s="6">
        <f t="shared" si="5"/>
        <v>86.4</v>
      </c>
      <c r="U69" s="7">
        <f>RANK(Q69,$Q$2:$Q$251,0)+COUNTIF($Q$2:Q69,Q69)-1</f>
        <v>24</v>
      </c>
      <c r="V69" s="3" t="str">
        <f t="shared" si="6"/>
        <v>STUDENT_068</v>
      </c>
      <c r="W69" s="3" t="str">
        <f t="shared" si="7"/>
        <v>068</v>
      </c>
    </row>
    <row r="70" spans="1:23" x14ac:dyDescent="0.3">
      <c r="A70" s="3" t="s">
        <v>170</v>
      </c>
      <c r="B70" s="3" t="s">
        <v>171</v>
      </c>
      <c r="C70" s="3" t="s">
        <v>43</v>
      </c>
      <c r="D70" s="3" t="s">
        <v>26</v>
      </c>
      <c r="E70" s="3">
        <v>5</v>
      </c>
      <c r="F70" s="4">
        <v>100</v>
      </c>
      <c r="G70" s="4">
        <v>2.2999999999999998</v>
      </c>
      <c r="H70" s="4">
        <v>82.9</v>
      </c>
      <c r="I70" s="4">
        <v>65.900000000000006</v>
      </c>
      <c r="J70" s="4">
        <v>67.2</v>
      </c>
      <c r="K70" s="3">
        <v>5</v>
      </c>
      <c r="L70" s="3">
        <v>4</v>
      </c>
      <c r="M70" s="3">
        <v>0</v>
      </c>
      <c r="N70" s="3" t="s">
        <v>37</v>
      </c>
      <c r="O70" s="5">
        <v>11331</v>
      </c>
      <c r="P70" s="3" t="s">
        <v>28</v>
      </c>
      <c r="Q70" s="6">
        <v>69.95</v>
      </c>
      <c r="R70" s="7" t="str">
        <f>IF(Q70&gt;=KPI!$E$4,"A",IF(Q70&gt;=KPI!$E$5,"B",IF(Q70&gt;=KPI!$E$6,"C",IF(Q70&gt;=KPI!$E$7,"D","F"))))</f>
        <v>C</v>
      </c>
      <c r="S70" s="7">
        <f t="shared" si="4"/>
        <v>1</v>
      </c>
      <c r="T70" s="6">
        <f t="shared" si="5"/>
        <v>66.550000000000011</v>
      </c>
      <c r="U70" s="7">
        <f>RANK(Q70,$Q$2:$Q$251,0)+COUNTIF($Q$2:Q70,Q70)-1</f>
        <v>186</v>
      </c>
      <c r="V70" s="3" t="str">
        <f t="shared" si="6"/>
        <v>STUDENT_069</v>
      </c>
      <c r="W70" s="3" t="str">
        <f t="shared" si="7"/>
        <v>069</v>
      </c>
    </row>
    <row r="71" spans="1:23" x14ac:dyDescent="0.3">
      <c r="A71" s="3" t="s">
        <v>172</v>
      </c>
      <c r="B71" s="3" t="s">
        <v>173</v>
      </c>
      <c r="C71" s="3" t="s">
        <v>31</v>
      </c>
      <c r="D71" s="3" t="s">
        <v>26</v>
      </c>
      <c r="E71" s="3">
        <v>5</v>
      </c>
      <c r="F71" s="4">
        <v>67.5</v>
      </c>
      <c r="G71" s="4">
        <v>5.7</v>
      </c>
      <c r="H71" s="4">
        <v>59.7</v>
      </c>
      <c r="I71" s="4">
        <v>88.3</v>
      </c>
      <c r="J71" s="4">
        <v>79.2</v>
      </c>
      <c r="K71" s="3">
        <v>1</v>
      </c>
      <c r="L71" s="3">
        <v>2</v>
      </c>
      <c r="M71" s="3">
        <v>0</v>
      </c>
      <c r="N71" s="3" t="s">
        <v>27</v>
      </c>
      <c r="O71" s="5">
        <v>0</v>
      </c>
      <c r="P71" s="3" t="s">
        <v>32</v>
      </c>
      <c r="Q71" s="6">
        <v>78.03</v>
      </c>
      <c r="R71" s="7" t="str">
        <f>IF(Q71&gt;=KPI!$E$4,"A",IF(Q71&gt;=KPI!$E$5,"B",IF(Q71&gt;=KPI!$E$6,"C",IF(Q71&gt;=KPI!$E$7,"D","F"))))</f>
        <v>B</v>
      </c>
      <c r="S71" s="7">
        <f t="shared" si="4"/>
        <v>0</v>
      </c>
      <c r="T71" s="6">
        <f t="shared" si="5"/>
        <v>83.75</v>
      </c>
      <c r="U71" s="7">
        <f>RANK(Q71,$Q$2:$Q$251,0)+COUNTIF($Q$2:Q71,Q71)-1</f>
        <v>97</v>
      </c>
      <c r="V71" s="3" t="str">
        <f t="shared" si="6"/>
        <v>STUDENT_070</v>
      </c>
      <c r="W71" s="3" t="str">
        <f t="shared" si="7"/>
        <v>070</v>
      </c>
    </row>
    <row r="72" spans="1:23" x14ac:dyDescent="0.3">
      <c r="A72" s="3" t="s">
        <v>174</v>
      </c>
      <c r="B72" s="3" t="s">
        <v>175</v>
      </c>
      <c r="C72" s="3" t="s">
        <v>35</v>
      </c>
      <c r="D72" s="3" t="s">
        <v>36</v>
      </c>
      <c r="E72" s="3">
        <v>5</v>
      </c>
      <c r="F72" s="4">
        <v>80.7</v>
      </c>
      <c r="G72" s="4">
        <v>2.9</v>
      </c>
      <c r="H72" s="4">
        <v>93.9</v>
      </c>
      <c r="I72" s="4">
        <v>80</v>
      </c>
      <c r="J72" s="4">
        <v>82.9</v>
      </c>
      <c r="K72" s="3">
        <v>4</v>
      </c>
      <c r="L72" s="3">
        <v>2</v>
      </c>
      <c r="M72" s="3">
        <v>2</v>
      </c>
      <c r="N72" s="3" t="s">
        <v>27</v>
      </c>
      <c r="O72" s="5">
        <v>0</v>
      </c>
      <c r="P72" s="3" t="s">
        <v>32</v>
      </c>
      <c r="Q72" s="6">
        <v>84.23</v>
      </c>
      <c r="R72" s="7" t="str">
        <f>IF(Q72&gt;=KPI!$E$4,"A",IF(Q72&gt;=KPI!$E$5,"B",IF(Q72&gt;=KPI!$E$6,"C",IF(Q72&gt;=KPI!$E$7,"D","F"))))</f>
        <v>B</v>
      </c>
      <c r="S72" s="7">
        <f t="shared" si="4"/>
        <v>0</v>
      </c>
      <c r="T72" s="6">
        <f t="shared" si="5"/>
        <v>81.45</v>
      </c>
      <c r="U72" s="7">
        <f>RANK(Q72,$Q$2:$Q$251,0)+COUNTIF($Q$2:Q72,Q72)-1</f>
        <v>40</v>
      </c>
      <c r="V72" s="3" t="str">
        <f t="shared" si="6"/>
        <v>STUDENT_071</v>
      </c>
      <c r="W72" s="3" t="str">
        <f t="shared" si="7"/>
        <v>071</v>
      </c>
    </row>
    <row r="73" spans="1:23" x14ac:dyDescent="0.3">
      <c r="A73" s="3" t="s">
        <v>176</v>
      </c>
      <c r="B73" s="3" t="s">
        <v>177</v>
      </c>
      <c r="C73" s="3" t="s">
        <v>43</v>
      </c>
      <c r="D73" s="3" t="s">
        <v>36</v>
      </c>
      <c r="E73" s="3">
        <v>2</v>
      </c>
      <c r="F73" s="4">
        <v>78.3</v>
      </c>
      <c r="G73" s="4">
        <v>7.1</v>
      </c>
      <c r="H73" s="4">
        <v>86.1</v>
      </c>
      <c r="I73" s="4">
        <v>80.400000000000006</v>
      </c>
      <c r="J73" s="4">
        <v>84.9</v>
      </c>
      <c r="K73" s="3">
        <v>4</v>
      </c>
      <c r="L73" s="3">
        <v>2</v>
      </c>
      <c r="M73" s="3">
        <v>1</v>
      </c>
      <c r="N73" s="3" t="s">
        <v>27</v>
      </c>
      <c r="O73" s="5">
        <v>0</v>
      </c>
      <c r="P73" s="3" t="s">
        <v>28</v>
      </c>
      <c r="Q73" s="6">
        <v>83.79</v>
      </c>
      <c r="R73" s="7" t="str">
        <f>IF(Q73&gt;=KPI!$E$4,"A",IF(Q73&gt;=KPI!$E$5,"B",IF(Q73&gt;=KPI!$E$6,"C",IF(Q73&gt;=KPI!$E$7,"D","F"))))</f>
        <v>B</v>
      </c>
      <c r="S73" s="7">
        <f t="shared" si="4"/>
        <v>1</v>
      </c>
      <c r="T73" s="6">
        <f t="shared" si="5"/>
        <v>82.65</v>
      </c>
      <c r="U73" s="7">
        <f>RANK(Q73,$Q$2:$Q$251,0)+COUNTIF($Q$2:Q73,Q73)-1</f>
        <v>44</v>
      </c>
      <c r="V73" s="3" t="str">
        <f t="shared" si="6"/>
        <v>STUDENT_072</v>
      </c>
      <c r="W73" s="3" t="str">
        <f t="shared" si="7"/>
        <v>072</v>
      </c>
    </row>
    <row r="74" spans="1:23" x14ac:dyDescent="0.3">
      <c r="A74" s="3" t="s">
        <v>178</v>
      </c>
      <c r="B74" s="3" t="s">
        <v>179</v>
      </c>
      <c r="C74" s="3" t="s">
        <v>43</v>
      </c>
      <c r="D74" s="3" t="s">
        <v>36</v>
      </c>
      <c r="E74" s="3">
        <v>2</v>
      </c>
      <c r="F74" s="4">
        <v>76.599999999999994</v>
      </c>
      <c r="G74" s="4">
        <v>4.3</v>
      </c>
      <c r="H74" s="4">
        <v>81.2</v>
      </c>
      <c r="I74" s="4">
        <v>64.900000000000006</v>
      </c>
      <c r="J74" s="4">
        <v>53.3</v>
      </c>
      <c r="K74" s="3">
        <v>4</v>
      </c>
      <c r="L74" s="3">
        <v>4</v>
      </c>
      <c r="M74" s="3">
        <v>0</v>
      </c>
      <c r="N74" s="3" t="s">
        <v>27</v>
      </c>
      <c r="O74" s="5">
        <v>0</v>
      </c>
      <c r="P74" s="3" t="s">
        <v>32</v>
      </c>
      <c r="Q74" s="6">
        <v>62.36</v>
      </c>
      <c r="R74" s="7" t="str">
        <f>IF(Q74&gt;=KPI!$E$4,"A",IF(Q74&gt;=KPI!$E$5,"B",IF(Q74&gt;=KPI!$E$6,"C",IF(Q74&gt;=KPI!$E$7,"D","F"))))</f>
        <v>D</v>
      </c>
      <c r="S74" s="7">
        <f t="shared" si="4"/>
        <v>0</v>
      </c>
      <c r="T74" s="6">
        <f t="shared" si="5"/>
        <v>59.1</v>
      </c>
      <c r="U74" s="7">
        <f>RANK(Q74,$Q$2:$Q$251,0)+COUNTIF($Q$2:Q74,Q74)-1</f>
        <v>231</v>
      </c>
      <c r="V74" s="3" t="str">
        <f t="shared" si="6"/>
        <v>STUDENT_073</v>
      </c>
      <c r="W74" s="3" t="str">
        <f t="shared" si="7"/>
        <v>073</v>
      </c>
    </row>
    <row r="75" spans="1:23" x14ac:dyDescent="0.3">
      <c r="A75" s="3" t="s">
        <v>180</v>
      </c>
      <c r="B75" s="3" t="s">
        <v>181</v>
      </c>
      <c r="C75" s="3" t="s">
        <v>35</v>
      </c>
      <c r="D75" s="3" t="s">
        <v>26</v>
      </c>
      <c r="E75" s="3">
        <v>3</v>
      </c>
      <c r="F75" s="4">
        <v>88.8</v>
      </c>
      <c r="G75" s="4">
        <v>5</v>
      </c>
      <c r="H75" s="4">
        <v>67.099999999999994</v>
      </c>
      <c r="I75" s="4">
        <v>68.7</v>
      </c>
      <c r="J75" s="4">
        <v>74.3</v>
      </c>
      <c r="K75" s="3">
        <v>3</v>
      </c>
      <c r="L75" s="3">
        <v>3</v>
      </c>
      <c r="M75" s="3">
        <v>0</v>
      </c>
      <c r="N75" s="3" t="s">
        <v>37</v>
      </c>
      <c r="O75" s="5">
        <v>15336</v>
      </c>
      <c r="P75" s="3" t="s">
        <v>28</v>
      </c>
      <c r="Q75" s="6">
        <v>71.180000000000007</v>
      </c>
      <c r="R75" s="7" t="str">
        <f>IF(Q75&gt;=KPI!$E$4,"A",IF(Q75&gt;=KPI!$E$5,"B",IF(Q75&gt;=KPI!$E$6,"C",IF(Q75&gt;=KPI!$E$7,"D","F"))))</f>
        <v>C</v>
      </c>
      <c r="S75" s="7">
        <f t="shared" si="4"/>
        <v>1</v>
      </c>
      <c r="T75" s="6">
        <f t="shared" si="5"/>
        <v>71.5</v>
      </c>
      <c r="U75" s="7">
        <f>RANK(Q75,$Q$2:$Q$251,0)+COUNTIF($Q$2:Q75,Q75)-1</f>
        <v>172</v>
      </c>
      <c r="V75" s="3" t="str">
        <f t="shared" si="6"/>
        <v>STUDENT_074</v>
      </c>
      <c r="W75" s="3" t="str">
        <f t="shared" si="7"/>
        <v>074</v>
      </c>
    </row>
    <row r="76" spans="1:23" x14ac:dyDescent="0.3">
      <c r="A76" s="3" t="s">
        <v>182</v>
      </c>
      <c r="B76" s="3" t="s">
        <v>183</v>
      </c>
      <c r="C76" s="3" t="s">
        <v>35</v>
      </c>
      <c r="D76" s="3" t="s">
        <v>36</v>
      </c>
      <c r="E76" s="3">
        <v>1</v>
      </c>
      <c r="F76" s="4">
        <v>92</v>
      </c>
      <c r="G76" s="4">
        <v>5.5</v>
      </c>
      <c r="H76" s="4">
        <v>80.2</v>
      </c>
      <c r="I76" s="4">
        <v>55.4</v>
      </c>
      <c r="J76" s="4">
        <v>80.7</v>
      </c>
      <c r="K76" s="3">
        <v>4</v>
      </c>
      <c r="L76" s="3">
        <v>1</v>
      </c>
      <c r="M76" s="3">
        <v>0</v>
      </c>
      <c r="N76" s="3" t="s">
        <v>37</v>
      </c>
      <c r="O76" s="5">
        <v>19596</v>
      </c>
      <c r="P76" s="3" t="s">
        <v>28</v>
      </c>
      <c r="Q76" s="6">
        <v>73.010000000000005</v>
      </c>
      <c r="R76" s="7" t="str">
        <f>IF(Q76&gt;=KPI!$E$4,"A",IF(Q76&gt;=KPI!$E$5,"B",IF(Q76&gt;=KPI!$E$6,"C",IF(Q76&gt;=KPI!$E$7,"D","F"))))</f>
        <v>C</v>
      </c>
      <c r="S76" s="7">
        <f t="shared" si="4"/>
        <v>1</v>
      </c>
      <c r="T76" s="6">
        <f t="shared" si="5"/>
        <v>68.05</v>
      </c>
      <c r="U76" s="7">
        <f>RANK(Q76,$Q$2:$Q$251,0)+COUNTIF($Q$2:Q76,Q76)-1</f>
        <v>153</v>
      </c>
      <c r="V76" s="3" t="str">
        <f t="shared" si="6"/>
        <v>STUDENT_075</v>
      </c>
      <c r="W76" s="3" t="str">
        <f t="shared" si="7"/>
        <v>075</v>
      </c>
    </row>
    <row r="77" spans="1:23" x14ac:dyDescent="0.3">
      <c r="A77" s="3" t="s">
        <v>184</v>
      </c>
      <c r="B77" s="3" t="s">
        <v>185</v>
      </c>
      <c r="C77" s="3" t="s">
        <v>35</v>
      </c>
      <c r="D77" s="3" t="s">
        <v>36</v>
      </c>
      <c r="E77" s="3">
        <v>5</v>
      </c>
      <c r="F77" s="4">
        <v>88.9</v>
      </c>
      <c r="G77" s="4">
        <v>1.3</v>
      </c>
      <c r="H77" s="4">
        <v>72.2</v>
      </c>
      <c r="I77" s="4">
        <v>67.099999999999994</v>
      </c>
      <c r="J77" s="4">
        <v>74.099999999999994</v>
      </c>
      <c r="K77" s="3">
        <v>2</v>
      </c>
      <c r="L77" s="3">
        <v>2</v>
      </c>
      <c r="M77" s="3">
        <v>2</v>
      </c>
      <c r="N77" s="3" t="s">
        <v>37</v>
      </c>
      <c r="O77" s="5">
        <v>6093</v>
      </c>
      <c r="P77" s="3" t="s">
        <v>32</v>
      </c>
      <c r="Q77" s="6">
        <v>71.62</v>
      </c>
      <c r="R77" s="7" t="str">
        <f>IF(Q77&gt;=KPI!$E$4,"A",IF(Q77&gt;=KPI!$E$5,"B",IF(Q77&gt;=KPI!$E$6,"C",IF(Q77&gt;=KPI!$E$7,"D","F"))))</f>
        <v>C</v>
      </c>
      <c r="S77" s="7">
        <f t="shared" si="4"/>
        <v>0</v>
      </c>
      <c r="T77" s="6">
        <f t="shared" si="5"/>
        <v>70.599999999999994</v>
      </c>
      <c r="U77" s="7">
        <f>RANK(Q77,$Q$2:$Q$251,0)+COUNTIF($Q$2:Q77,Q77)-1</f>
        <v>166</v>
      </c>
      <c r="V77" s="3" t="str">
        <f t="shared" si="6"/>
        <v>STUDENT_076</v>
      </c>
      <c r="W77" s="3" t="str">
        <f t="shared" si="7"/>
        <v>076</v>
      </c>
    </row>
    <row r="78" spans="1:23" x14ac:dyDescent="0.3">
      <c r="A78" s="3" t="s">
        <v>186</v>
      </c>
      <c r="B78" s="3" t="s">
        <v>187</v>
      </c>
      <c r="C78" s="3" t="s">
        <v>35</v>
      </c>
      <c r="D78" s="3" t="s">
        <v>36</v>
      </c>
      <c r="E78" s="3">
        <v>6</v>
      </c>
      <c r="F78" s="4">
        <v>75.5</v>
      </c>
      <c r="G78" s="4">
        <v>3.6</v>
      </c>
      <c r="H78" s="4">
        <v>54.5</v>
      </c>
      <c r="I78" s="4">
        <v>57.5</v>
      </c>
      <c r="J78" s="4">
        <v>64.3</v>
      </c>
      <c r="K78" s="3">
        <v>3</v>
      </c>
      <c r="L78" s="3">
        <v>2</v>
      </c>
      <c r="M78" s="3">
        <v>2</v>
      </c>
      <c r="N78" s="3" t="s">
        <v>27</v>
      </c>
      <c r="O78" s="5">
        <v>0</v>
      </c>
      <c r="P78" s="3" t="s">
        <v>32</v>
      </c>
      <c r="Q78" s="6">
        <v>60.3</v>
      </c>
      <c r="R78" s="7" t="str">
        <f>IF(Q78&gt;=KPI!$E$4,"A",IF(Q78&gt;=KPI!$E$5,"B",IF(Q78&gt;=KPI!$E$6,"C",IF(Q78&gt;=KPI!$E$7,"D","F"))))</f>
        <v>D</v>
      </c>
      <c r="S78" s="7">
        <f t="shared" si="4"/>
        <v>0</v>
      </c>
      <c r="T78" s="6">
        <f t="shared" si="5"/>
        <v>60.9</v>
      </c>
      <c r="U78" s="7">
        <f>RANK(Q78,$Q$2:$Q$251,0)+COUNTIF($Q$2:Q78,Q78)-1</f>
        <v>240</v>
      </c>
      <c r="V78" s="3" t="str">
        <f t="shared" si="6"/>
        <v>STUDENT_077</v>
      </c>
      <c r="W78" s="3" t="str">
        <f t="shared" si="7"/>
        <v>077</v>
      </c>
    </row>
    <row r="79" spans="1:23" x14ac:dyDescent="0.3">
      <c r="A79" s="3" t="s">
        <v>188</v>
      </c>
      <c r="B79" s="3" t="s">
        <v>189</v>
      </c>
      <c r="C79" s="3" t="s">
        <v>43</v>
      </c>
      <c r="D79" s="3" t="s">
        <v>36</v>
      </c>
      <c r="E79" s="3">
        <v>1</v>
      </c>
      <c r="F79" s="4">
        <v>100</v>
      </c>
      <c r="G79" s="4">
        <v>6.7</v>
      </c>
      <c r="H79" s="4">
        <v>75.3</v>
      </c>
      <c r="I79" s="4">
        <v>90.4</v>
      </c>
      <c r="J79" s="4">
        <v>85.2</v>
      </c>
      <c r="K79" s="3">
        <v>0</v>
      </c>
      <c r="L79" s="3">
        <v>2</v>
      </c>
      <c r="M79" s="3">
        <v>1</v>
      </c>
      <c r="N79" s="3" t="s">
        <v>37</v>
      </c>
      <c r="O79" s="5">
        <v>11071</v>
      </c>
      <c r="P79" s="3" t="s">
        <v>32</v>
      </c>
      <c r="Q79" s="6">
        <v>84.78</v>
      </c>
      <c r="R79" s="7" t="str">
        <f>IF(Q79&gt;=KPI!$E$4,"A",IF(Q79&gt;=KPI!$E$5,"B",IF(Q79&gt;=KPI!$E$6,"C",IF(Q79&gt;=KPI!$E$7,"D","F"))))</f>
        <v>B</v>
      </c>
      <c r="S79" s="7">
        <f t="shared" si="4"/>
        <v>0</v>
      </c>
      <c r="T79" s="6">
        <f t="shared" si="5"/>
        <v>87.800000000000011</v>
      </c>
      <c r="U79" s="7">
        <f>RANK(Q79,$Q$2:$Q$251,0)+COUNTIF($Q$2:Q79,Q79)-1</f>
        <v>38</v>
      </c>
      <c r="V79" s="3" t="str">
        <f t="shared" si="6"/>
        <v>STUDENT_078</v>
      </c>
      <c r="W79" s="3" t="str">
        <f t="shared" si="7"/>
        <v>078</v>
      </c>
    </row>
    <row r="80" spans="1:23" x14ac:dyDescent="0.3">
      <c r="A80" s="3" t="s">
        <v>190</v>
      </c>
      <c r="B80" s="3" t="s">
        <v>191</v>
      </c>
      <c r="C80" s="3" t="s">
        <v>25</v>
      </c>
      <c r="D80" s="3" t="s">
        <v>26</v>
      </c>
      <c r="E80" s="3">
        <v>6</v>
      </c>
      <c r="F80" s="4">
        <v>66.099999999999994</v>
      </c>
      <c r="G80" s="4">
        <v>6.4</v>
      </c>
      <c r="H80" s="4">
        <v>74</v>
      </c>
      <c r="I80" s="4">
        <v>72.7</v>
      </c>
      <c r="J80" s="4">
        <v>80</v>
      </c>
      <c r="K80" s="3">
        <v>4</v>
      </c>
      <c r="L80" s="3">
        <v>1</v>
      </c>
      <c r="M80" s="3">
        <v>0</v>
      </c>
      <c r="N80" s="3" t="s">
        <v>27</v>
      </c>
      <c r="O80" s="5">
        <v>0</v>
      </c>
      <c r="P80" s="3" t="s">
        <v>32</v>
      </c>
      <c r="Q80" s="6">
        <v>76.61</v>
      </c>
      <c r="R80" s="7" t="str">
        <f>IF(Q80&gt;=KPI!$E$4,"A",IF(Q80&gt;=KPI!$E$5,"B",IF(Q80&gt;=KPI!$E$6,"C",IF(Q80&gt;=KPI!$E$7,"D","F"))))</f>
        <v>B</v>
      </c>
      <c r="S80" s="7">
        <f t="shared" si="4"/>
        <v>0</v>
      </c>
      <c r="T80" s="6">
        <f t="shared" si="5"/>
        <v>76.349999999999994</v>
      </c>
      <c r="U80" s="7">
        <f>RANK(Q80,$Q$2:$Q$251,0)+COUNTIF($Q$2:Q80,Q80)-1</f>
        <v>114</v>
      </c>
      <c r="V80" s="3" t="str">
        <f t="shared" si="6"/>
        <v>STUDENT_079</v>
      </c>
      <c r="W80" s="3" t="str">
        <f t="shared" si="7"/>
        <v>079</v>
      </c>
    </row>
    <row r="81" spans="1:23" x14ac:dyDescent="0.3">
      <c r="A81" s="3" t="s">
        <v>192</v>
      </c>
      <c r="B81" s="3" t="s">
        <v>193</v>
      </c>
      <c r="C81" s="3" t="s">
        <v>43</v>
      </c>
      <c r="D81" s="3" t="s">
        <v>26</v>
      </c>
      <c r="E81" s="3">
        <v>1</v>
      </c>
      <c r="F81" s="4">
        <v>72.7</v>
      </c>
      <c r="G81" s="4">
        <v>5.3</v>
      </c>
      <c r="H81" s="4">
        <v>89.8</v>
      </c>
      <c r="I81" s="4">
        <v>74.400000000000006</v>
      </c>
      <c r="J81" s="4">
        <v>77.099999999999994</v>
      </c>
      <c r="K81" s="3">
        <v>4</v>
      </c>
      <c r="L81" s="3">
        <v>2</v>
      </c>
      <c r="M81" s="3">
        <v>0</v>
      </c>
      <c r="N81" s="3" t="s">
        <v>37</v>
      </c>
      <c r="O81" s="5">
        <v>18597</v>
      </c>
      <c r="P81" s="3" t="s">
        <v>28</v>
      </c>
      <c r="Q81" s="6">
        <v>78.83</v>
      </c>
      <c r="R81" s="7" t="str">
        <f>IF(Q81&gt;=KPI!$E$4,"A",IF(Q81&gt;=KPI!$E$5,"B",IF(Q81&gt;=KPI!$E$6,"C",IF(Q81&gt;=KPI!$E$7,"D","F"))))</f>
        <v>B</v>
      </c>
      <c r="S81" s="7">
        <f t="shared" si="4"/>
        <v>1</v>
      </c>
      <c r="T81" s="6">
        <f t="shared" si="5"/>
        <v>75.75</v>
      </c>
      <c r="U81" s="7">
        <f>RANK(Q81,$Q$2:$Q$251,0)+COUNTIF($Q$2:Q81,Q81)-1</f>
        <v>94</v>
      </c>
      <c r="V81" s="3" t="str">
        <f t="shared" si="6"/>
        <v>STUDENT_080</v>
      </c>
      <c r="W81" s="3" t="str">
        <f t="shared" si="7"/>
        <v>080</v>
      </c>
    </row>
    <row r="82" spans="1:23" x14ac:dyDescent="0.3">
      <c r="A82" s="3" t="s">
        <v>194</v>
      </c>
      <c r="B82" s="3" t="s">
        <v>195</v>
      </c>
      <c r="C82" s="3" t="s">
        <v>31</v>
      </c>
      <c r="D82" s="3" t="s">
        <v>26</v>
      </c>
      <c r="E82" s="3">
        <v>3</v>
      </c>
      <c r="F82" s="4">
        <v>83.5</v>
      </c>
      <c r="G82" s="4">
        <v>2.4</v>
      </c>
      <c r="H82" s="4">
        <v>47</v>
      </c>
      <c r="I82" s="4">
        <v>68.8</v>
      </c>
      <c r="J82" s="4">
        <v>66.7</v>
      </c>
      <c r="K82" s="3">
        <v>0</v>
      </c>
      <c r="L82" s="3">
        <v>1</v>
      </c>
      <c r="M82" s="3">
        <v>2</v>
      </c>
      <c r="N82" s="3" t="s">
        <v>37</v>
      </c>
      <c r="O82" s="5">
        <v>12367</v>
      </c>
      <c r="P82" s="3" t="s">
        <v>32</v>
      </c>
      <c r="Q82" s="6">
        <v>63.39</v>
      </c>
      <c r="R82" s="7" t="str">
        <f>IF(Q82&gt;=KPI!$E$4,"A",IF(Q82&gt;=KPI!$E$5,"B",IF(Q82&gt;=KPI!$E$6,"C",IF(Q82&gt;=KPI!$E$7,"D","F"))))</f>
        <v>D</v>
      </c>
      <c r="S82" s="7">
        <f t="shared" si="4"/>
        <v>0</v>
      </c>
      <c r="T82" s="6">
        <f t="shared" si="5"/>
        <v>67.75</v>
      </c>
      <c r="U82" s="7">
        <f>RANK(Q82,$Q$2:$Q$251,0)+COUNTIF($Q$2:Q82,Q82)-1</f>
        <v>228</v>
      </c>
      <c r="V82" s="3" t="str">
        <f t="shared" si="6"/>
        <v>STUDENT_081</v>
      </c>
      <c r="W82" s="3" t="str">
        <f t="shared" si="7"/>
        <v>081</v>
      </c>
    </row>
    <row r="83" spans="1:23" x14ac:dyDescent="0.3">
      <c r="A83" s="3" t="s">
        <v>196</v>
      </c>
      <c r="B83" s="3" t="s">
        <v>197</v>
      </c>
      <c r="C83" s="3" t="s">
        <v>40</v>
      </c>
      <c r="D83" s="3" t="s">
        <v>36</v>
      </c>
      <c r="E83" s="3">
        <v>5</v>
      </c>
      <c r="F83" s="4">
        <v>82.8</v>
      </c>
      <c r="G83" s="4">
        <v>5.9</v>
      </c>
      <c r="H83" s="4">
        <v>79.099999999999994</v>
      </c>
      <c r="I83" s="4">
        <v>74.8</v>
      </c>
      <c r="J83" s="4">
        <v>82.6</v>
      </c>
      <c r="K83" s="3">
        <v>4</v>
      </c>
      <c r="L83" s="3">
        <v>2</v>
      </c>
      <c r="M83" s="3">
        <v>0</v>
      </c>
      <c r="N83" s="3" t="s">
        <v>27</v>
      </c>
      <c r="O83" s="5">
        <v>0</v>
      </c>
      <c r="P83" s="3" t="s">
        <v>28</v>
      </c>
      <c r="Q83" s="6">
        <v>79.56</v>
      </c>
      <c r="R83" s="7" t="str">
        <f>IF(Q83&gt;=KPI!$E$4,"A",IF(Q83&gt;=KPI!$E$5,"B",IF(Q83&gt;=KPI!$E$6,"C",IF(Q83&gt;=KPI!$E$7,"D","F"))))</f>
        <v>B</v>
      </c>
      <c r="S83" s="7">
        <f t="shared" si="4"/>
        <v>1</v>
      </c>
      <c r="T83" s="6">
        <f t="shared" si="5"/>
        <v>78.699999999999989</v>
      </c>
      <c r="U83" s="7">
        <f>RANK(Q83,$Q$2:$Q$251,0)+COUNTIF($Q$2:Q83,Q83)-1</f>
        <v>86</v>
      </c>
      <c r="V83" s="3" t="str">
        <f t="shared" si="6"/>
        <v>STUDENT_082</v>
      </c>
      <c r="W83" s="3" t="str">
        <f t="shared" si="7"/>
        <v>082</v>
      </c>
    </row>
    <row r="84" spans="1:23" x14ac:dyDescent="0.3">
      <c r="A84" s="3" t="s">
        <v>198</v>
      </c>
      <c r="B84" s="3" t="s">
        <v>199</v>
      </c>
      <c r="C84" s="3" t="s">
        <v>25</v>
      </c>
      <c r="D84" s="3" t="s">
        <v>26</v>
      </c>
      <c r="E84" s="3">
        <v>5</v>
      </c>
      <c r="F84" s="4">
        <v>86.4</v>
      </c>
      <c r="G84" s="4">
        <v>6.1</v>
      </c>
      <c r="H84" s="4">
        <v>61</v>
      </c>
      <c r="I84" s="4">
        <v>100</v>
      </c>
      <c r="J84" s="4">
        <v>82.9</v>
      </c>
      <c r="K84" s="3">
        <v>0</v>
      </c>
      <c r="L84" s="3">
        <v>4</v>
      </c>
      <c r="M84" s="3">
        <v>0</v>
      </c>
      <c r="N84" s="3" t="s">
        <v>27</v>
      </c>
      <c r="O84" s="5">
        <v>0</v>
      </c>
      <c r="P84" s="3" t="s">
        <v>32</v>
      </c>
      <c r="Q84" s="6">
        <v>83.65</v>
      </c>
      <c r="R84" s="7" t="str">
        <f>IF(Q84&gt;=KPI!$E$4,"A",IF(Q84&gt;=KPI!$E$5,"B",IF(Q84&gt;=KPI!$E$6,"C",IF(Q84&gt;=KPI!$E$7,"D","F"))))</f>
        <v>B</v>
      </c>
      <c r="S84" s="7">
        <f t="shared" si="4"/>
        <v>0</v>
      </c>
      <c r="T84" s="6">
        <f t="shared" si="5"/>
        <v>91.45</v>
      </c>
      <c r="U84" s="7">
        <f>RANK(Q84,$Q$2:$Q$251,0)+COUNTIF($Q$2:Q84,Q84)-1</f>
        <v>46</v>
      </c>
      <c r="V84" s="3" t="str">
        <f t="shared" si="6"/>
        <v>STUDENT_083</v>
      </c>
      <c r="W84" s="3" t="str">
        <f t="shared" si="7"/>
        <v>083</v>
      </c>
    </row>
    <row r="85" spans="1:23" x14ac:dyDescent="0.3">
      <c r="A85" s="3" t="s">
        <v>200</v>
      </c>
      <c r="B85" s="3" t="s">
        <v>201</v>
      </c>
      <c r="C85" s="3" t="s">
        <v>43</v>
      </c>
      <c r="D85" s="3" t="s">
        <v>26</v>
      </c>
      <c r="E85" s="3">
        <v>4</v>
      </c>
      <c r="F85" s="4">
        <v>96.2</v>
      </c>
      <c r="G85" s="4">
        <v>4.9000000000000004</v>
      </c>
      <c r="H85" s="4">
        <v>80.099999999999994</v>
      </c>
      <c r="I85" s="4">
        <v>67.8</v>
      </c>
      <c r="J85" s="4">
        <v>73.3</v>
      </c>
      <c r="K85" s="3">
        <v>3</v>
      </c>
      <c r="L85" s="3">
        <v>4</v>
      </c>
      <c r="M85" s="3">
        <v>0</v>
      </c>
      <c r="N85" s="3" t="s">
        <v>37</v>
      </c>
      <c r="O85" s="5">
        <v>8937</v>
      </c>
      <c r="P85" s="3" t="s">
        <v>28</v>
      </c>
      <c r="Q85" s="6">
        <v>73.010000000000005</v>
      </c>
      <c r="R85" s="7" t="str">
        <f>IF(Q85&gt;=KPI!$E$4,"A",IF(Q85&gt;=KPI!$E$5,"B",IF(Q85&gt;=KPI!$E$6,"C",IF(Q85&gt;=KPI!$E$7,"D","F"))))</f>
        <v>C</v>
      </c>
      <c r="S85" s="7">
        <f t="shared" si="4"/>
        <v>1</v>
      </c>
      <c r="T85" s="6">
        <f t="shared" si="5"/>
        <v>70.55</v>
      </c>
      <c r="U85" s="7">
        <f>RANK(Q85,$Q$2:$Q$251,0)+COUNTIF($Q$2:Q85,Q85)-1</f>
        <v>154</v>
      </c>
      <c r="V85" s="3" t="str">
        <f t="shared" si="6"/>
        <v>STUDENT_084</v>
      </c>
      <c r="W85" s="3" t="str">
        <f t="shared" si="7"/>
        <v>084</v>
      </c>
    </row>
    <row r="86" spans="1:23" x14ac:dyDescent="0.3">
      <c r="A86" s="3" t="s">
        <v>202</v>
      </c>
      <c r="B86" s="3" t="s">
        <v>203</v>
      </c>
      <c r="C86" s="3" t="s">
        <v>25</v>
      </c>
      <c r="D86" s="3" t="s">
        <v>26</v>
      </c>
      <c r="E86" s="3">
        <v>6</v>
      </c>
      <c r="F86" s="4">
        <v>80.900000000000006</v>
      </c>
      <c r="G86" s="4">
        <v>7</v>
      </c>
      <c r="H86" s="4">
        <v>80.900000000000006</v>
      </c>
      <c r="I86" s="4">
        <v>62.9</v>
      </c>
      <c r="J86" s="4">
        <v>81.2</v>
      </c>
      <c r="K86" s="3">
        <v>2</v>
      </c>
      <c r="L86" s="3">
        <v>1</v>
      </c>
      <c r="M86" s="3">
        <v>1</v>
      </c>
      <c r="N86" s="3" t="s">
        <v>27</v>
      </c>
      <c r="O86" s="5">
        <v>0</v>
      </c>
      <c r="P86" s="3" t="s">
        <v>28</v>
      </c>
      <c r="Q86" s="6">
        <v>75.650000000000006</v>
      </c>
      <c r="R86" s="7" t="str">
        <f>IF(Q86&gt;=KPI!$E$4,"A",IF(Q86&gt;=KPI!$E$5,"B",IF(Q86&gt;=KPI!$E$6,"C",IF(Q86&gt;=KPI!$E$7,"D","F"))))</f>
        <v>B</v>
      </c>
      <c r="S86" s="7">
        <f t="shared" si="4"/>
        <v>1</v>
      </c>
      <c r="T86" s="6">
        <f t="shared" si="5"/>
        <v>72.05</v>
      </c>
      <c r="U86" s="7">
        <f>RANK(Q86,$Q$2:$Q$251,0)+COUNTIF($Q$2:Q86,Q86)-1</f>
        <v>122</v>
      </c>
      <c r="V86" s="3" t="str">
        <f t="shared" si="6"/>
        <v>STUDENT_085</v>
      </c>
      <c r="W86" s="3" t="str">
        <f t="shared" si="7"/>
        <v>085</v>
      </c>
    </row>
    <row r="87" spans="1:23" x14ac:dyDescent="0.3">
      <c r="A87" s="3" t="s">
        <v>204</v>
      </c>
      <c r="B87" s="3" t="s">
        <v>205</v>
      </c>
      <c r="C87" s="3" t="s">
        <v>25</v>
      </c>
      <c r="D87" s="3" t="s">
        <v>26</v>
      </c>
      <c r="E87" s="3">
        <v>1</v>
      </c>
      <c r="F87" s="4">
        <v>83</v>
      </c>
      <c r="G87" s="4">
        <v>3.6</v>
      </c>
      <c r="H87" s="4">
        <v>74.900000000000006</v>
      </c>
      <c r="I87" s="4">
        <v>79.400000000000006</v>
      </c>
      <c r="J87" s="4">
        <v>76.7</v>
      </c>
      <c r="K87" s="3">
        <v>0</v>
      </c>
      <c r="L87" s="3">
        <v>4</v>
      </c>
      <c r="M87" s="3">
        <v>3</v>
      </c>
      <c r="N87" s="3" t="s">
        <v>37</v>
      </c>
      <c r="O87" s="5">
        <v>5818</v>
      </c>
      <c r="P87" s="3" t="s">
        <v>32</v>
      </c>
      <c r="Q87" s="6">
        <v>77.150000000000006</v>
      </c>
      <c r="R87" s="7" t="str">
        <f>IF(Q87&gt;=KPI!$E$4,"A",IF(Q87&gt;=KPI!$E$5,"B",IF(Q87&gt;=KPI!$E$6,"C",IF(Q87&gt;=KPI!$E$7,"D","F"))))</f>
        <v>B</v>
      </c>
      <c r="S87" s="7">
        <f t="shared" si="4"/>
        <v>0</v>
      </c>
      <c r="T87" s="6">
        <f t="shared" si="5"/>
        <v>78.050000000000011</v>
      </c>
      <c r="U87" s="7">
        <f>RANK(Q87,$Q$2:$Q$251,0)+COUNTIF($Q$2:Q87,Q87)-1</f>
        <v>108</v>
      </c>
      <c r="V87" s="3" t="str">
        <f t="shared" si="6"/>
        <v>STUDENT_086</v>
      </c>
      <c r="W87" s="3" t="str">
        <f t="shared" si="7"/>
        <v>086</v>
      </c>
    </row>
    <row r="88" spans="1:23" x14ac:dyDescent="0.3">
      <c r="A88" s="3" t="s">
        <v>206</v>
      </c>
      <c r="B88" s="3" t="s">
        <v>207</v>
      </c>
      <c r="C88" s="3" t="s">
        <v>35</v>
      </c>
      <c r="D88" s="3" t="s">
        <v>36</v>
      </c>
      <c r="E88" s="3">
        <v>1</v>
      </c>
      <c r="F88" s="4">
        <v>76.599999999999994</v>
      </c>
      <c r="G88" s="4">
        <v>3.9</v>
      </c>
      <c r="H88" s="4">
        <v>86.5</v>
      </c>
      <c r="I88" s="4">
        <v>36.6</v>
      </c>
      <c r="J88" s="4">
        <v>55.3</v>
      </c>
      <c r="K88" s="3">
        <v>1</v>
      </c>
      <c r="L88" s="3">
        <v>1</v>
      </c>
      <c r="M88" s="3">
        <v>0</v>
      </c>
      <c r="N88" s="3" t="s">
        <v>27</v>
      </c>
      <c r="O88" s="5">
        <v>0</v>
      </c>
      <c r="P88" s="3" t="s">
        <v>28</v>
      </c>
      <c r="Q88" s="6">
        <v>55.93</v>
      </c>
      <c r="R88" s="7" t="str">
        <f>IF(Q88&gt;=KPI!$E$4,"A",IF(Q88&gt;=KPI!$E$5,"B",IF(Q88&gt;=KPI!$E$6,"C",IF(Q88&gt;=KPI!$E$7,"D","F"))))</f>
        <v>D</v>
      </c>
      <c r="S88" s="7">
        <f t="shared" si="4"/>
        <v>1</v>
      </c>
      <c r="T88" s="6">
        <f t="shared" si="5"/>
        <v>45.95</v>
      </c>
      <c r="U88" s="7">
        <f>RANK(Q88,$Q$2:$Q$251,0)+COUNTIF($Q$2:Q88,Q88)-1</f>
        <v>247</v>
      </c>
      <c r="V88" s="3" t="str">
        <f t="shared" si="6"/>
        <v>STUDENT_087</v>
      </c>
      <c r="W88" s="3" t="str">
        <f t="shared" si="7"/>
        <v>087</v>
      </c>
    </row>
    <row r="89" spans="1:23" x14ac:dyDescent="0.3">
      <c r="A89" s="3" t="s">
        <v>208</v>
      </c>
      <c r="B89" s="3" t="s">
        <v>209</v>
      </c>
      <c r="C89" s="3" t="s">
        <v>40</v>
      </c>
      <c r="D89" s="3" t="s">
        <v>36</v>
      </c>
      <c r="E89" s="3">
        <v>8</v>
      </c>
      <c r="F89" s="4">
        <v>87.3</v>
      </c>
      <c r="G89" s="4">
        <v>1</v>
      </c>
      <c r="H89" s="4">
        <v>59.8</v>
      </c>
      <c r="I89" s="4"/>
      <c r="J89" s="4">
        <v>60.8</v>
      </c>
      <c r="K89" s="3">
        <v>0</v>
      </c>
      <c r="L89" s="3">
        <v>4</v>
      </c>
      <c r="M89" s="3">
        <v>0</v>
      </c>
      <c r="N89" s="3" t="s">
        <v>27</v>
      </c>
      <c r="O89" s="5">
        <v>0</v>
      </c>
      <c r="P89" s="3" t="s">
        <v>28</v>
      </c>
      <c r="Q89" s="6">
        <v>64.23</v>
      </c>
      <c r="R89" s="7" t="str">
        <f>IF(Q89&gt;=KPI!$E$4,"A",IF(Q89&gt;=KPI!$E$5,"B",IF(Q89&gt;=KPI!$E$6,"C",IF(Q89&gt;=KPI!$E$7,"D","F"))))</f>
        <v>D</v>
      </c>
      <c r="S89" s="7">
        <f t="shared" si="4"/>
        <v>1</v>
      </c>
      <c r="T89" s="6">
        <f t="shared" si="5"/>
        <v>60.8</v>
      </c>
      <c r="U89" s="7">
        <f>RANK(Q89,$Q$2:$Q$251,0)+COUNTIF($Q$2:Q89,Q89)-1</f>
        <v>221</v>
      </c>
      <c r="V89" s="3" t="str">
        <f t="shared" si="6"/>
        <v>STUDENT_088</v>
      </c>
      <c r="W89" s="3" t="str">
        <f t="shared" si="7"/>
        <v>088</v>
      </c>
    </row>
    <row r="90" spans="1:23" x14ac:dyDescent="0.3">
      <c r="A90" s="3" t="s">
        <v>210</v>
      </c>
      <c r="B90" s="3" t="s">
        <v>211</v>
      </c>
      <c r="C90" s="3" t="s">
        <v>31</v>
      </c>
      <c r="D90" s="3" t="s">
        <v>26</v>
      </c>
      <c r="E90" s="3">
        <v>8</v>
      </c>
      <c r="F90" s="4">
        <v>79.099999999999994</v>
      </c>
      <c r="G90" s="4">
        <v>6.5</v>
      </c>
      <c r="H90" s="4">
        <v>90.4</v>
      </c>
      <c r="I90" s="4">
        <v>66.8</v>
      </c>
      <c r="J90" s="4">
        <v>79.400000000000006</v>
      </c>
      <c r="K90" s="3">
        <v>4</v>
      </c>
      <c r="L90" s="3">
        <v>4</v>
      </c>
      <c r="M90" s="3">
        <v>1</v>
      </c>
      <c r="N90" s="3" t="s">
        <v>37</v>
      </c>
      <c r="O90" s="5">
        <v>7490</v>
      </c>
      <c r="P90" s="3" t="s">
        <v>28</v>
      </c>
      <c r="Q90" s="6">
        <v>77.819999999999993</v>
      </c>
      <c r="R90" s="7" t="str">
        <f>IF(Q90&gt;=KPI!$E$4,"A",IF(Q90&gt;=KPI!$E$5,"B",IF(Q90&gt;=KPI!$E$6,"C",IF(Q90&gt;=KPI!$E$7,"D","F"))))</f>
        <v>B</v>
      </c>
      <c r="S90" s="7">
        <f t="shared" si="4"/>
        <v>1</v>
      </c>
      <c r="T90" s="6">
        <f t="shared" si="5"/>
        <v>73.099999999999994</v>
      </c>
      <c r="U90" s="7">
        <f>RANK(Q90,$Q$2:$Q$251,0)+COUNTIF($Q$2:Q90,Q90)-1</f>
        <v>101</v>
      </c>
      <c r="V90" s="3" t="str">
        <f t="shared" si="6"/>
        <v>STUDENT_089</v>
      </c>
      <c r="W90" s="3" t="str">
        <f t="shared" si="7"/>
        <v>089</v>
      </c>
    </row>
    <row r="91" spans="1:23" x14ac:dyDescent="0.3">
      <c r="A91" s="3" t="s">
        <v>212</v>
      </c>
      <c r="B91" s="3" t="s">
        <v>213</v>
      </c>
      <c r="C91" s="3" t="s">
        <v>25</v>
      </c>
      <c r="D91" s="3" t="s">
        <v>26</v>
      </c>
      <c r="E91" s="3">
        <v>2</v>
      </c>
      <c r="F91" s="4">
        <v>79.099999999999994</v>
      </c>
      <c r="G91" s="4">
        <v>5.4</v>
      </c>
      <c r="H91" s="4">
        <v>66.8</v>
      </c>
      <c r="I91" s="4">
        <v>58.1</v>
      </c>
      <c r="J91" s="4">
        <v>80.400000000000006</v>
      </c>
      <c r="K91" s="3">
        <v>3</v>
      </c>
      <c r="L91" s="3">
        <v>1</v>
      </c>
      <c r="M91" s="3">
        <v>4</v>
      </c>
      <c r="N91" s="3" t="s">
        <v>27</v>
      </c>
      <c r="O91" s="5">
        <v>0</v>
      </c>
      <c r="P91" s="3" t="s">
        <v>32</v>
      </c>
      <c r="Q91" s="6">
        <v>70.989999999999995</v>
      </c>
      <c r="R91" s="7" t="str">
        <f>IF(Q91&gt;=KPI!$E$4,"A",IF(Q91&gt;=KPI!$E$5,"B",IF(Q91&gt;=KPI!$E$6,"C",IF(Q91&gt;=KPI!$E$7,"D","F"))))</f>
        <v>C</v>
      </c>
      <c r="S91" s="7">
        <f t="shared" si="4"/>
        <v>0</v>
      </c>
      <c r="T91" s="6">
        <f t="shared" si="5"/>
        <v>69.25</v>
      </c>
      <c r="U91" s="7">
        <f>RANK(Q91,$Q$2:$Q$251,0)+COUNTIF($Q$2:Q91,Q91)-1</f>
        <v>175</v>
      </c>
      <c r="V91" s="3" t="str">
        <f t="shared" si="6"/>
        <v>STUDENT_090</v>
      </c>
      <c r="W91" s="3" t="str">
        <f t="shared" si="7"/>
        <v>090</v>
      </c>
    </row>
    <row r="92" spans="1:23" x14ac:dyDescent="0.3">
      <c r="A92" s="3" t="s">
        <v>214</v>
      </c>
      <c r="B92" s="3" t="s">
        <v>215</v>
      </c>
      <c r="C92" s="3" t="s">
        <v>43</v>
      </c>
      <c r="D92" s="3" t="s">
        <v>36</v>
      </c>
      <c r="E92" s="3">
        <v>4</v>
      </c>
      <c r="F92" s="4">
        <v>86.9</v>
      </c>
      <c r="G92" s="4">
        <v>1.8</v>
      </c>
      <c r="H92" s="4">
        <v>55.8</v>
      </c>
      <c r="I92" s="4">
        <v>79.099999999999994</v>
      </c>
      <c r="J92" s="4">
        <v>66.8</v>
      </c>
      <c r="K92" s="3">
        <v>5</v>
      </c>
      <c r="L92" s="3">
        <v>3</v>
      </c>
      <c r="M92" s="3">
        <v>0</v>
      </c>
      <c r="N92" s="3" t="s">
        <v>27</v>
      </c>
      <c r="O92" s="5">
        <v>0</v>
      </c>
      <c r="P92" s="3" t="s">
        <v>28</v>
      </c>
      <c r="Q92" s="6">
        <v>68.290000000000006</v>
      </c>
      <c r="R92" s="7" t="str">
        <f>IF(Q92&gt;=KPI!$E$4,"A",IF(Q92&gt;=KPI!$E$5,"B",IF(Q92&gt;=KPI!$E$6,"C",IF(Q92&gt;=KPI!$E$7,"D","F"))))</f>
        <v>C</v>
      </c>
      <c r="S92" s="7">
        <f t="shared" si="4"/>
        <v>1</v>
      </c>
      <c r="T92" s="6">
        <f t="shared" si="5"/>
        <v>72.949999999999989</v>
      </c>
      <c r="U92" s="7">
        <f>RANK(Q92,$Q$2:$Q$251,0)+COUNTIF($Q$2:Q92,Q92)-1</f>
        <v>199</v>
      </c>
      <c r="V92" s="3" t="str">
        <f t="shared" si="6"/>
        <v>STUDENT_091</v>
      </c>
      <c r="W92" s="3" t="str">
        <f t="shared" si="7"/>
        <v>091</v>
      </c>
    </row>
    <row r="93" spans="1:23" x14ac:dyDescent="0.3">
      <c r="A93" s="3" t="s">
        <v>216</v>
      </c>
      <c r="B93" s="3" t="s">
        <v>217</v>
      </c>
      <c r="C93" s="3" t="s">
        <v>35</v>
      </c>
      <c r="D93" s="3" t="s">
        <v>26</v>
      </c>
      <c r="E93" s="3">
        <v>7</v>
      </c>
      <c r="F93" s="4">
        <v>91.3</v>
      </c>
      <c r="G93" s="4">
        <v>1.6</v>
      </c>
      <c r="H93" s="4">
        <v>72.5</v>
      </c>
      <c r="I93" s="4">
        <v>72.8</v>
      </c>
      <c r="J93" s="4">
        <v>72.2</v>
      </c>
      <c r="K93" s="3">
        <v>3</v>
      </c>
      <c r="L93" s="3">
        <v>4</v>
      </c>
      <c r="M93" s="3">
        <v>0</v>
      </c>
      <c r="N93" s="3" t="s">
        <v>27</v>
      </c>
      <c r="O93" s="5">
        <v>0</v>
      </c>
      <c r="P93" s="3" t="s">
        <v>28</v>
      </c>
      <c r="Q93" s="6">
        <v>72.44</v>
      </c>
      <c r="R93" s="7" t="str">
        <f>IF(Q93&gt;=KPI!$E$4,"A",IF(Q93&gt;=KPI!$E$5,"B",IF(Q93&gt;=KPI!$E$6,"C",IF(Q93&gt;=KPI!$E$7,"D","F"))))</f>
        <v>C</v>
      </c>
      <c r="S93" s="7">
        <f t="shared" si="4"/>
        <v>1</v>
      </c>
      <c r="T93" s="6">
        <f t="shared" si="5"/>
        <v>72.5</v>
      </c>
      <c r="U93" s="7">
        <f>RANK(Q93,$Q$2:$Q$251,0)+COUNTIF($Q$2:Q93,Q93)-1</f>
        <v>157</v>
      </c>
      <c r="V93" s="3" t="str">
        <f t="shared" si="6"/>
        <v>STUDENT_092</v>
      </c>
      <c r="W93" s="3" t="str">
        <f t="shared" si="7"/>
        <v>092</v>
      </c>
    </row>
    <row r="94" spans="1:23" x14ac:dyDescent="0.3">
      <c r="A94" s="3" t="s">
        <v>218</v>
      </c>
      <c r="B94" s="3" t="s">
        <v>219</v>
      </c>
      <c r="C94" s="3" t="s">
        <v>35</v>
      </c>
      <c r="D94" s="3" t="s">
        <v>26</v>
      </c>
      <c r="E94" s="3">
        <v>8</v>
      </c>
      <c r="F94" s="4">
        <v>62.1</v>
      </c>
      <c r="G94" s="4">
        <v>3.2</v>
      </c>
      <c r="H94" s="4">
        <v>48.8</v>
      </c>
      <c r="I94" s="4">
        <v>46.8</v>
      </c>
      <c r="J94" s="4">
        <v>52.8</v>
      </c>
      <c r="K94" s="3">
        <v>5</v>
      </c>
      <c r="L94" s="3">
        <v>2</v>
      </c>
      <c r="M94" s="3">
        <v>0</v>
      </c>
      <c r="N94" s="3" t="s">
        <v>37</v>
      </c>
      <c r="O94" s="5">
        <v>11294</v>
      </c>
      <c r="P94" s="3" t="s">
        <v>28</v>
      </c>
      <c r="Q94" s="6">
        <v>50.2</v>
      </c>
      <c r="R94" s="7" t="str">
        <f>IF(Q94&gt;=KPI!$E$4,"A",IF(Q94&gt;=KPI!$E$5,"B",IF(Q94&gt;=KPI!$E$6,"C",IF(Q94&gt;=KPI!$E$7,"D","F"))))</f>
        <v>D</v>
      </c>
      <c r="S94" s="7">
        <f t="shared" si="4"/>
        <v>1</v>
      </c>
      <c r="T94" s="6">
        <f t="shared" si="5"/>
        <v>49.8</v>
      </c>
      <c r="U94" s="7">
        <f>RANK(Q94,$Q$2:$Q$251,0)+COUNTIF($Q$2:Q94,Q94)-1</f>
        <v>248</v>
      </c>
      <c r="V94" s="3" t="str">
        <f t="shared" si="6"/>
        <v>STUDENT_093</v>
      </c>
      <c r="W94" s="3" t="str">
        <f t="shared" si="7"/>
        <v>093</v>
      </c>
    </row>
    <row r="95" spans="1:23" x14ac:dyDescent="0.3">
      <c r="A95" s="3" t="s">
        <v>220</v>
      </c>
      <c r="B95" s="3" t="s">
        <v>221</v>
      </c>
      <c r="C95" s="3" t="s">
        <v>40</v>
      </c>
      <c r="D95" s="3" t="s">
        <v>26</v>
      </c>
      <c r="E95" s="3">
        <v>7</v>
      </c>
      <c r="F95" s="4">
        <v>85.2</v>
      </c>
      <c r="G95" s="4">
        <v>6.2</v>
      </c>
      <c r="H95" s="4"/>
      <c r="I95" s="4">
        <v>62.9</v>
      </c>
      <c r="J95" s="4">
        <v>69.7</v>
      </c>
      <c r="K95" s="3">
        <v>0</v>
      </c>
      <c r="L95" s="3">
        <v>3</v>
      </c>
      <c r="M95" s="3">
        <v>2</v>
      </c>
      <c r="N95" s="3" t="s">
        <v>37</v>
      </c>
      <c r="O95" s="5">
        <v>17720</v>
      </c>
      <c r="P95" s="3" t="s">
        <v>28</v>
      </c>
      <c r="Q95" s="6">
        <v>69.58</v>
      </c>
      <c r="R95" s="7" t="str">
        <f>IF(Q95&gt;=KPI!$E$4,"A",IF(Q95&gt;=KPI!$E$5,"B",IF(Q95&gt;=KPI!$E$6,"C",IF(Q95&gt;=KPI!$E$7,"D","F"))))</f>
        <v>C</v>
      </c>
      <c r="S95" s="7">
        <f t="shared" si="4"/>
        <v>1</v>
      </c>
      <c r="T95" s="6">
        <f t="shared" si="5"/>
        <v>66.3</v>
      </c>
      <c r="U95" s="7">
        <f>RANK(Q95,$Q$2:$Q$251,0)+COUNTIF($Q$2:Q95,Q95)-1</f>
        <v>193</v>
      </c>
      <c r="V95" s="3" t="str">
        <f t="shared" si="6"/>
        <v>STUDENT_094</v>
      </c>
      <c r="W95" s="3" t="str">
        <f t="shared" si="7"/>
        <v>094</v>
      </c>
    </row>
    <row r="96" spans="1:23" x14ac:dyDescent="0.3">
      <c r="A96" s="3" t="s">
        <v>222</v>
      </c>
      <c r="B96" s="3" t="s">
        <v>223</v>
      </c>
      <c r="C96" s="3" t="s">
        <v>35</v>
      </c>
      <c r="D96" s="3" t="s">
        <v>26</v>
      </c>
      <c r="E96" s="3">
        <v>2</v>
      </c>
      <c r="F96" s="4"/>
      <c r="G96" s="4">
        <v>4.3</v>
      </c>
      <c r="H96" s="4">
        <v>72.599999999999994</v>
      </c>
      <c r="I96" s="4">
        <v>31.6</v>
      </c>
      <c r="J96" s="4">
        <v>44.6</v>
      </c>
      <c r="K96" s="3">
        <v>2</v>
      </c>
      <c r="L96" s="3">
        <v>1</v>
      </c>
      <c r="M96" s="3">
        <v>0</v>
      </c>
      <c r="N96" s="3" t="s">
        <v>27</v>
      </c>
      <c r="O96" s="5">
        <v>0</v>
      </c>
      <c r="P96" s="3" t="s">
        <v>32</v>
      </c>
      <c r="Q96" s="6">
        <v>46.3</v>
      </c>
      <c r="R96" s="7" t="str">
        <f>IF(Q96&gt;=KPI!$E$4,"A",IF(Q96&gt;=KPI!$E$5,"B",IF(Q96&gt;=KPI!$E$6,"C",IF(Q96&gt;=KPI!$E$7,"D","F"))))</f>
        <v>F</v>
      </c>
      <c r="S96" s="7">
        <f t="shared" si="4"/>
        <v>0</v>
      </c>
      <c r="T96" s="6">
        <f t="shared" si="5"/>
        <v>38.1</v>
      </c>
      <c r="U96" s="7">
        <f>RANK(Q96,$Q$2:$Q$251,0)+COUNTIF($Q$2:Q96,Q96)-1</f>
        <v>249</v>
      </c>
      <c r="V96" s="3" t="str">
        <f t="shared" si="6"/>
        <v>STUDENT_095</v>
      </c>
      <c r="W96" s="3" t="str">
        <f t="shared" si="7"/>
        <v>095</v>
      </c>
    </row>
    <row r="97" spans="1:23" x14ac:dyDescent="0.3">
      <c r="A97" s="3" t="s">
        <v>224</v>
      </c>
      <c r="B97" s="3" t="s">
        <v>225</v>
      </c>
      <c r="C97" s="3" t="s">
        <v>25</v>
      </c>
      <c r="D97" s="3" t="s">
        <v>36</v>
      </c>
      <c r="E97" s="3">
        <v>2</v>
      </c>
      <c r="F97" s="4">
        <v>90.5</v>
      </c>
      <c r="G97" s="4">
        <v>3.4</v>
      </c>
      <c r="H97" s="4">
        <v>92</v>
      </c>
      <c r="I97" s="4">
        <v>76.099999999999994</v>
      </c>
      <c r="J97" s="4">
        <v>75</v>
      </c>
      <c r="K97" s="3">
        <v>1</v>
      </c>
      <c r="L97" s="3">
        <v>3</v>
      </c>
      <c r="M97" s="3">
        <v>0</v>
      </c>
      <c r="N97" s="3" t="s">
        <v>37</v>
      </c>
      <c r="O97" s="5">
        <v>15534</v>
      </c>
      <c r="P97" s="3" t="s">
        <v>28</v>
      </c>
      <c r="Q97" s="6">
        <v>78.73</v>
      </c>
      <c r="R97" s="7" t="str">
        <f>IF(Q97&gt;=KPI!$E$4,"A",IF(Q97&gt;=KPI!$E$5,"B",IF(Q97&gt;=KPI!$E$6,"C",IF(Q97&gt;=KPI!$E$7,"D","F"))))</f>
        <v>B</v>
      </c>
      <c r="S97" s="7">
        <f t="shared" si="4"/>
        <v>1</v>
      </c>
      <c r="T97" s="6">
        <f t="shared" si="5"/>
        <v>75.55</v>
      </c>
      <c r="U97" s="7">
        <f>RANK(Q97,$Q$2:$Q$251,0)+COUNTIF($Q$2:Q97,Q97)-1</f>
        <v>96</v>
      </c>
      <c r="V97" s="3" t="str">
        <f t="shared" si="6"/>
        <v>STUDENT_096</v>
      </c>
      <c r="W97" s="3" t="str">
        <f t="shared" si="7"/>
        <v>096</v>
      </c>
    </row>
    <row r="98" spans="1:23" x14ac:dyDescent="0.3">
      <c r="A98" s="3" t="s">
        <v>226</v>
      </c>
      <c r="B98" s="3" t="s">
        <v>227</v>
      </c>
      <c r="C98" s="3" t="s">
        <v>40</v>
      </c>
      <c r="D98" s="3" t="s">
        <v>36</v>
      </c>
      <c r="E98" s="3">
        <v>2</v>
      </c>
      <c r="F98" s="4">
        <v>79.7</v>
      </c>
      <c r="G98" s="4">
        <v>3</v>
      </c>
      <c r="H98" s="4">
        <v>84.4</v>
      </c>
      <c r="I98" s="4">
        <v>76</v>
      </c>
      <c r="J98" s="4">
        <v>79</v>
      </c>
      <c r="K98" s="3">
        <v>3</v>
      </c>
      <c r="L98" s="3">
        <v>0</v>
      </c>
      <c r="M98" s="3">
        <v>1</v>
      </c>
      <c r="N98" s="3" t="s">
        <v>27</v>
      </c>
      <c r="O98" s="5">
        <v>0</v>
      </c>
      <c r="P98" s="3" t="s">
        <v>28</v>
      </c>
      <c r="Q98" s="6">
        <v>79.180000000000007</v>
      </c>
      <c r="R98" s="7" t="str">
        <f>IF(Q98&gt;=KPI!$E$4,"A",IF(Q98&gt;=KPI!$E$5,"B",IF(Q98&gt;=KPI!$E$6,"C",IF(Q98&gt;=KPI!$E$7,"D","F"))))</f>
        <v>B</v>
      </c>
      <c r="S98" s="7">
        <f t="shared" si="4"/>
        <v>1</v>
      </c>
      <c r="T98" s="6">
        <f t="shared" si="5"/>
        <v>77.5</v>
      </c>
      <c r="U98" s="7">
        <f>RANK(Q98,$Q$2:$Q$251,0)+COUNTIF($Q$2:Q98,Q98)-1</f>
        <v>90</v>
      </c>
      <c r="V98" s="3" t="str">
        <f t="shared" si="6"/>
        <v>STUDENT_097</v>
      </c>
      <c r="W98" s="3" t="str">
        <f t="shared" si="7"/>
        <v>097</v>
      </c>
    </row>
    <row r="99" spans="1:23" x14ac:dyDescent="0.3">
      <c r="A99" s="3" t="s">
        <v>228</v>
      </c>
      <c r="B99" s="3" t="s">
        <v>229</v>
      </c>
      <c r="C99" s="3" t="s">
        <v>25</v>
      </c>
      <c r="D99" s="3" t="s">
        <v>26</v>
      </c>
      <c r="E99" s="3">
        <v>6</v>
      </c>
      <c r="F99" s="4">
        <v>93.7</v>
      </c>
      <c r="G99" s="4">
        <v>2.9</v>
      </c>
      <c r="H99" s="4">
        <v>57.9</v>
      </c>
      <c r="I99" s="4">
        <v>60.9</v>
      </c>
      <c r="J99" s="4">
        <v>67</v>
      </c>
      <c r="K99" s="3">
        <v>4</v>
      </c>
      <c r="L99" s="3">
        <v>0</v>
      </c>
      <c r="M99" s="3">
        <v>1</v>
      </c>
      <c r="N99" s="3" t="s">
        <v>27</v>
      </c>
      <c r="O99" s="5">
        <v>0</v>
      </c>
      <c r="P99" s="3" t="s">
        <v>32</v>
      </c>
      <c r="Q99" s="6">
        <v>63.35</v>
      </c>
      <c r="R99" s="7" t="str">
        <f>IF(Q99&gt;=KPI!$E$4,"A",IF(Q99&gt;=KPI!$E$5,"B",IF(Q99&gt;=KPI!$E$6,"C",IF(Q99&gt;=KPI!$E$7,"D","F"))))</f>
        <v>D</v>
      </c>
      <c r="S99" s="7">
        <f t="shared" si="4"/>
        <v>0</v>
      </c>
      <c r="T99" s="6">
        <f t="shared" si="5"/>
        <v>63.95</v>
      </c>
      <c r="U99" s="7">
        <f>RANK(Q99,$Q$2:$Q$251,0)+COUNTIF($Q$2:Q99,Q99)-1</f>
        <v>229</v>
      </c>
      <c r="V99" s="3" t="str">
        <f t="shared" si="6"/>
        <v>STUDENT_098</v>
      </c>
      <c r="W99" s="3" t="str">
        <f t="shared" si="7"/>
        <v>098</v>
      </c>
    </row>
    <row r="100" spans="1:23" x14ac:dyDescent="0.3">
      <c r="A100" s="3" t="s">
        <v>230</v>
      </c>
      <c r="B100" s="3" t="s">
        <v>231</v>
      </c>
      <c r="C100" s="3" t="s">
        <v>43</v>
      </c>
      <c r="D100" s="3" t="s">
        <v>26</v>
      </c>
      <c r="E100" s="3">
        <v>6</v>
      </c>
      <c r="F100" s="4">
        <v>75.900000000000006</v>
      </c>
      <c r="G100" s="4">
        <v>1.3</v>
      </c>
      <c r="H100" s="4">
        <v>65.099999999999994</v>
      </c>
      <c r="I100" s="4">
        <v>79.599999999999994</v>
      </c>
      <c r="J100" s="4">
        <v>74.8</v>
      </c>
      <c r="K100" s="3">
        <v>5</v>
      </c>
      <c r="L100" s="3">
        <v>4</v>
      </c>
      <c r="M100" s="3">
        <v>0</v>
      </c>
      <c r="N100" s="3" t="s">
        <v>27</v>
      </c>
      <c r="O100" s="5">
        <v>0</v>
      </c>
      <c r="P100" s="3" t="s">
        <v>28</v>
      </c>
      <c r="Q100" s="6">
        <v>74.3</v>
      </c>
      <c r="R100" s="7" t="str">
        <f>IF(Q100&gt;=KPI!$E$4,"A",IF(Q100&gt;=KPI!$E$5,"B",IF(Q100&gt;=KPI!$E$6,"C",IF(Q100&gt;=KPI!$E$7,"D","F"))))</f>
        <v>C</v>
      </c>
      <c r="S100" s="7">
        <f t="shared" si="4"/>
        <v>1</v>
      </c>
      <c r="T100" s="6">
        <f t="shared" si="5"/>
        <v>77.199999999999989</v>
      </c>
      <c r="U100" s="7">
        <f>RANK(Q100,$Q$2:$Q$251,0)+COUNTIF($Q$2:Q100,Q100)-1</f>
        <v>142</v>
      </c>
      <c r="V100" s="3" t="str">
        <f t="shared" si="6"/>
        <v>STUDENT_099</v>
      </c>
      <c r="W100" s="3" t="str">
        <f t="shared" si="7"/>
        <v>099</v>
      </c>
    </row>
    <row r="101" spans="1:23" x14ac:dyDescent="0.3">
      <c r="A101" s="3" t="s">
        <v>232</v>
      </c>
      <c r="B101" s="3" t="s">
        <v>233</v>
      </c>
      <c r="C101" s="3" t="s">
        <v>43</v>
      </c>
      <c r="D101" s="3" t="s">
        <v>36</v>
      </c>
      <c r="E101" s="3">
        <v>3</v>
      </c>
      <c r="F101" s="4">
        <v>61.9</v>
      </c>
      <c r="G101" s="4">
        <v>2.6</v>
      </c>
      <c r="H101" s="4">
        <v>82.8</v>
      </c>
      <c r="I101" s="4">
        <v>54</v>
      </c>
      <c r="J101" s="4">
        <v>63.3</v>
      </c>
      <c r="K101" s="3">
        <v>4</v>
      </c>
      <c r="L101" s="3">
        <v>4</v>
      </c>
      <c r="M101" s="3">
        <v>2</v>
      </c>
      <c r="N101" s="3" t="s">
        <v>37</v>
      </c>
      <c r="O101" s="5">
        <v>12264</v>
      </c>
      <c r="P101" s="3" t="s">
        <v>32</v>
      </c>
      <c r="Q101" s="6">
        <v>64.41</v>
      </c>
      <c r="R101" s="7" t="str">
        <f>IF(Q101&gt;=KPI!$E$4,"A",IF(Q101&gt;=KPI!$E$5,"B",IF(Q101&gt;=KPI!$E$6,"C",IF(Q101&gt;=KPI!$E$7,"D","F"))))</f>
        <v>D</v>
      </c>
      <c r="S101" s="7">
        <f t="shared" si="4"/>
        <v>0</v>
      </c>
      <c r="T101" s="6">
        <f t="shared" si="5"/>
        <v>58.65</v>
      </c>
      <c r="U101" s="7">
        <f>RANK(Q101,$Q$2:$Q$251,0)+COUNTIF($Q$2:Q101,Q101)-1</f>
        <v>216</v>
      </c>
      <c r="V101" s="3" t="str">
        <f t="shared" si="6"/>
        <v>STUDENT_100</v>
      </c>
      <c r="W101" s="3" t="str">
        <f t="shared" si="7"/>
        <v>100</v>
      </c>
    </row>
    <row r="102" spans="1:23" x14ac:dyDescent="0.3">
      <c r="A102" s="3" t="s">
        <v>234</v>
      </c>
      <c r="B102" s="3" t="s">
        <v>235</v>
      </c>
      <c r="C102" s="3" t="s">
        <v>43</v>
      </c>
      <c r="D102" s="3" t="s">
        <v>36</v>
      </c>
      <c r="E102" s="3">
        <v>3</v>
      </c>
      <c r="F102" s="4">
        <v>91.5</v>
      </c>
      <c r="G102" s="4">
        <v>2.9</v>
      </c>
      <c r="H102" s="4">
        <v>87</v>
      </c>
      <c r="I102" s="4">
        <v>58.5</v>
      </c>
      <c r="J102" s="4">
        <v>71.400000000000006</v>
      </c>
      <c r="K102" s="3">
        <v>2</v>
      </c>
      <c r="L102" s="3">
        <v>2</v>
      </c>
      <c r="M102" s="3">
        <v>0</v>
      </c>
      <c r="N102" s="3" t="s">
        <v>37</v>
      </c>
      <c r="O102" s="5">
        <v>12089</v>
      </c>
      <c r="P102" s="3" t="s">
        <v>32</v>
      </c>
      <c r="Q102" s="6">
        <v>70.650000000000006</v>
      </c>
      <c r="R102" s="7" t="str">
        <f>IF(Q102&gt;=KPI!$E$4,"A",IF(Q102&gt;=KPI!$E$5,"B",IF(Q102&gt;=KPI!$E$6,"C",IF(Q102&gt;=KPI!$E$7,"D","F"))))</f>
        <v>C</v>
      </c>
      <c r="S102" s="7">
        <f t="shared" si="4"/>
        <v>0</v>
      </c>
      <c r="T102" s="6">
        <f t="shared" si="5"/>
        <v>64.95</v>
      </c>
      <c r="U102" s="7">
        <f>RANK(Q102,$Q$2:$Q$251,0)+COUNTIF($Q$2:Q102,Q102)-1</f>
        <v>181</v>
      </c>
      <c r="V102" s="3" t="str">
        <f t="shared" si="6"/>
        <v>STUDENT_101</v>
      </c>
      <c r="W102" s="3" t="str">
        <f t="shared" si="7"/>
        <v>101</v>
      </c>
    </row>
    <row r="103" spans="1:23" x14ac:dyDescent="0.3">
      <c r="A103" s="3" t="s">
        <v>236</v>
      </c>
      <c r="B103" s="3" t="s">
        <v>237</v>
      </c>
      <c r="C103" s="3" t="s">
        <v>40</v>
      </c>
      <c r="D103" s="3" t="s">
        <v>36</v>
      </c>
      <c r="E103" s="3">
        <v>2</v>
      </c>
      <c r="F103" s="4">
        <v>74.400000000000006</v>
      </c>
      <c r="G103" s="4">
        <v>6</v>
      </c>
      <c r="H103" s="4">
        <v>91.9</v>
      </c>
      <c r="I103" s="4">
        <v>77.8</v>
      </c>
      <c r="J103" s="4">
        <v>80.599999999999994</v>
      </c>
      <c r="K103" s="3">
        <v>5</v>
      </c>
      <c r="L103" s="3">
        <v>3</v>
      </c>
      <c r="M103" s="3">
        <v>0</v>
      </c>
      <c r="N103" s="3" t="s">
        <v>27</v>
      </c>
      <c r="O103" s="5">
        <v>0</v>
      </c>
      <c r="P103" s="3" t="s">
        <v>32</v>
      </c>
      <c r="Q103" s="6">
        <v>82.02</v>
      </c>
      <c r="R103" s="7" t="str">
        <f>IF(Q103&gt;=KPI!$E$4,"A",IF(Q103&gt;=KPI!$E$5,"B",IF(Q103&gt;=KPI!$E$6,"C",IF(Q103&gt;=KPI!$E$7,"D","F"))))</f>
        <v>B</v>
      </c>
      <c r="S103" s="7">
        <f t="shared" si="4"/>
        <v>0</v>
      </c>
      <c r="T103" s="6">
        <f t="shared" si="5"/>
        <v>79.199999999999989</v>
      </c>
      <c r="U103" s="7">
        <f>RANK(Q103,$Q$2:$Q$251,0)+COUNTIF($Q$2:Q103,Q103)-1</f>
        <v>62</v>
      </c>
      <c r="V103" s="3" t="str">
        <f t="shared" si="6"/>
        <v>STUDENT_102</v>
      </c>
      <c r="W103" s="3" t="str">
        <f t="shared" si="7"/>
        <v>102</v>
      </c>
    </row>
    <row r="104" spans="1:23" x14ac:dyDescent="0.3">
      <c r="A104" s="3" t="s">
        <v>238</v>
      </c>
      <c r="B104" s="3" t="s">
        <v>239</v>
      </c>
      <c r="C104" s="3" t="s">
        <v>25</v>
      </c>
      <c r="D104" s="3" t="s">
        <v>36</v>
      </c>
      <c r="E104" s="3">
        <v>4</v>
      </c>
      <c r="F104" s="4">
        <v>67.8</v>
      </c>
      <c r="G104" s="4">
        <v>4.5</v>
      </c>
      <c r="H104" s="4">
        <v>91.8</v>
      </c>
      <c r="I104" s="4">
        <v>62.4</v>
      </c>
      <c r="J104" s="4">
        <v>79.8</v>
      </c>
      <c r="K104" s="3">
        <v>3</v>
      </c>
      <c r="L104" s="3">
        <v>0</v>
      </c>
      <c r="M104" s="3">
        <v>0</v>
      </c>
      <c r="N104" s="3" t="s">
        <v>37</v>
      </c>
      <c r="O104" s="5">
        <v>17559</v>
      </c>
      <c r="P104" s="3" t="s">
        <v>28</v>
      </c>
      <c r="Q104" s="6">
        <v>76.98</v>
      </c>
      <c r="R104" s="7" t="str">
        <f>IF(Q104&gt;=KPI!$E$4,"A",IF(Q104&gt;=KPI!$E$5,"B",IF(Q104&gt;=KPI!$E$6,"C",IF(Q104&gt;=KPI!$E$7,"D","F"))))</f>
        <v>B</v>
      </c>
      <c r="S104" s="7">
        <f t="shared" si="4"/>
        <v>1</v>
      </c>
      <c r="T104" s="6">
        <f t="shared" si="5"/>
        <v>71.099999999999994</v>
      </c>
      <c r="U104" s="7">
        <f>RANK(Q104,$Q$2:$Q$251,0)+COUNTIF($Q$2:Q104,Q104)-1</f>
        <v>110</v>
      </c>
      <c r="V104" s="3" t="str">
        <f t="shared" si="6"/>
        <v>STUDENT_103</v>
      </c>
      <c r="W104" s="3" t="str">
        <f t="shared" si="7"/>
        <v>103</v>
      </c>
    </row>
    <row r="105" spans="1:23" x14ac:dyDescent="0.3">
      <c r="A105" s="3" t="s">
        <v>240</v>
      </c>
      <c r="B105" s="3" t="s">
        <v>241</v>
      </c>
      <c r="C105" s="3" t="s">
        <v>40</v>
      </c>
      <c r="D105" s="3" t="s">
        <v>26</v>
      </c>
      <c r="E105" s="3">
        <v>1</v>
      </c>
      <c r="F105" s="4">
        <v>82.1</v>
      </c>
      <c r="G105" s="4">
        <v>3.3</v>
      </c>
      <c r="H105" s="4">
        <v>74.8</v>
      </c>
      <c r="I105" s="4">
        <v>71.099999999999994</v>
      </c>
      <c r="J105" s="4">
        <v>67.3</v>
      </c>
      <c r="K105" s="3">
        <v>0</v>
      </c>
      <c r="L105" s="3">
        <v>4</v>
      </c>
      <c r="M105" s="3">
        <v>1</v>
      </c>
      <c r="N105" s="3" t="s">
        <v>37</v>
      </c>
      <c r="O105" s="5">
        <v>4859</v>
      </c>
      <c r="P105" s="3" t="s">
        <v>28</v>
      </c>
      <c r="Q105" s="6">
        <v>69.94</v>
      </c>
      <c r="R105" s="7" t="str">
        <f>IF(Q105&gt;=KPI!$E$4,"A",IF(Q105&gt;=KPI!$E$5,"B",IF(Q105&gt;=KPI!$E$6,"C",IF(Q105&gt;=KPI!$E$7,"D","F"))))</f>
        <v>C</v>
      </c>
      <c r="S105" s="7">
        <f t="shared" si="4"/>
        <v>1</v>
      </c>
      <c r="T105" s="6">
        <f t="shared" si="5"/>
        <v>69.199999999999989</v>
      </c>
      <c r="U105" s="7">
        <f>RANK(Q105,$Q$2:$Q$251,0)+COUNTIF($Q$2:Q105,Q105)-1</f>
        <v>187</v>
      </c>
      <c r="V105" s="3" t="str">
        <f t="shared" si="6"/>
        <v>STUDENT_104</v>
      </c>
      <c r="W105" s="3" t="str">
        <f t="shared" si="7"/>
        <v>104</v>
      </c>
    </row>
    <row r="106" spans="1:23" x14ac:dyDescent="0.3">
      <c r="A106" s="3" t="s">
        <v>242</v>
      </c>
      <c r="B106" s="3" t="s">
        <v>243</v>
      </c>
      <c r="C106" s="3" t="s">
        <v>31</v>
      </c>
      <c r="D106" s="3" t="s">
        <v>26</v>
      </c>
      <c r="E106" s="3">
        <v>6</v>
      </c>
      <c r="F106" s="4">
        <v>79.8</v>
      </c>
      <c r="G106" s="4">
        <v>9</v>
      </c>
      <c r="H106" s="4">
        <v>80.7</v>
      </c>
      <c r="I106" s="4">
        <v>64.099999999999994</v>
      </c>
      <c r="J106" s="4">
        <v>75.2</v>
      </c>
      <c r="K106" s="3">
        <v>4</v>
      </c>
      <c r="L106" s="3">
        <v>3</v>
      </c>
      <c r="M106" s="3">
        <v>0</v>
      </c>
      <c r="N106" s="3" t="s">
        <v>37</v>
      </c>
      <c r="O106" s="5">
        <v>16048</v>
      </c>
      <c r="P106" s="3" t="s">
        <v>28</v>
      </c>
      <c r="Q106" s="6">
        <v>72.97</v>
      </c>
      <c r="R106" s="7" t="str">
        <f>IF(Q106&gt;=KPI!$E$4,"A",IF(Q106&gt;=KPI!$E$5,"B",IF(Q106&gt;=KPI!$E$6,"C",IF(Q106&gt;=KPI!$E$7,"D","F"))))</f>
        <v>C</v>
      </c>
      <c r="S106" s="7">
        <f t="shared" si="4"/>
        <v>1</v>
      </c>
      <c r="T106" s="6">
        <f t="shared" si="5"/>
        <v>69.650000000000006</v>
      </c>
      <c r="U106" s="7">
        <f>RANK(Q106,$Q$2:$Q$251,0)+COUNTIF($Q$2:Q106,Q106)-1</f>
        <v>155</v>
      </c>
      <c r="V106" s="3" t="str">
        <f t="shared" si="6"/>
        <v>STUDENT_105</v>
      </c>
      <c r="W106" s="3" t="str">
        <f t="shared" si="7"/>
        <v>105</v>
      </c>
    </row>
    <row r="107" spans="1:23" x14ac:dyDescent="0.3">
      <c r="A107" s="3" t="s">
        <v>244</v>
      </c>
      <c r="B107" s="3" t="s">
        <v>245</v>
      </c>
      <c r="C107" s="3" t="s">
        <v>43</v>
      </c>
      <c r="D107" s="3" t="s">
        <v>36</v>
      </c>
      <c r="E107" s="3">
        <v>4</v>
      </c>
      <c r="F107" s="4">
        <v>89.4</v>
      </c>
      <c r="G107" s="4">
        <v>3.6</v>
      </c>
      <c r="H107" s="4">
        <v>92.9</v>
      </c>
      <c r="I107" s="4">
        <v>66.2</v>
      </c>
      <c r="J107" s="4">
        <v>82.1</v>
      </c>
      <c r="K107" s="3">
        <v>2</v>
      </c>
      <c r="L107" s="3">
        <v>4</v>
      </c>
      <c r="M107" s="3">
        <v>2</v>
      </c>
      <c r="N107" s="3" t="s">
        <v>27</v>
      </c>
      <c r="O107" s="5">
        <v>0</v>
      </c>
      <c r="P107" s="3" t="s">
        <v>32</v>
      </c>
      <c r="Q107" s="6">
        <v>79.489999999999995</v>
      </c>
      <c r="R107" s="7" t="str">
        <f>IF(Q107&gt;=KPI!$E$4,"A",IF(Q107&gt;=KPI!$E$5,"B",IF(Q107&gt;=KPI!$E$6,"C",IF(Q107&gt;=KPI!$E$7,"D","F"))))</f>
        <v>B</v>
      </c>
      <c r="S107" s="7">
        <f t="shared" si="4"/>
        <v>0</v>
      </c>
      <c r="T107" s="6">
        <f t="shared" si="5"/>
        <v>74.150000000000006</v>
      </c>
      <c r="U107" s="7">
        <f>RANK(Q107,$Q$2:$Q$251,0)+COUNTIF($Q$2:Q107,Q107)-1</f>
        <v>87</v>
      </c>
      <c r="V107" s="3" t="str">
        <f t="shared" si="6"/>
        <v>STUDENT_106</v>
      </c>
      <c r="W107" s="3" t="str">
        <f t="shared" si="7"/>
        <v>106</v>
      </c>
    </row>
    <row r="108" spans="1:23" x14ac:dyDescent="0.3">
      <c r="A108" s="3" t="s">
        <v>246</v>
      </c>
      <c r="B108" s="3" t="s">
        <v>247</v>
      </c>
      <c r="C108" s="3" t="s">
        <v>25</v>
      </c>
      <c r="D108" s="3" t="s">
        <v>26</v>
      </c>
      <c r="E108" s="3">
        <v>5</v>
      </c>
      <c r="F108" s="4">
        <v>90</v>
      </c>
      <c r="G108" s="4">
        <v>6.9</v>
      </c>
      <c r="H108" s="4">
        <v>72.099999999999994</v>
      </c>
      <c r="I108" s="4">
        <v>66.900000000000006</v>
      </c>
      <c r="J108" s="4">
        <v>70.599999999999994</v>
      </c>
      <c r="K108" s="3">
        <v>3</v>
      </c>
      <c r="L108" s="3">
        <v>4</v>
      </c>
      <c r="M108" s="3">
        <v>1</v>
      </c>
      <c r="N108" s="3" t="s">
        <v>27</v>
      </c>
      <c r="O108" s="5">
        <v>0</v>
      </c>
      <c r="P108" s="3" t="s">
        <v>32</v>
      </c>
      <c r="Q108" s="6">
        <v>69.790000000000006</v>
      </c>
      <c r="R108" s="7" t="str">
        <f>IF(Q108&gt;=KPI!$E$4,"A",IF(Q108&gt;=KPI!$E$5,"B",IF(Q108&gt;=KPI!$E$6,"C",IF(Q108&gt;=KPI!$E$7,"D","F"))))</f>
        <v>C</v>
      </c>
      <c r="S108" s="7">
        <f t="shared" si="4"/>
        <v>0</v>
      </c>
      <c r="T108" s="6">
        <f t="shared" si="5"/>
        <v>68.75</v>
      </c>
      <c r="U108" s="7">
        <f>RANK(Q108,$Q$2:$Q$251,0)+COUNTIF($Q$2:Q108,Q108)-1</f>
        <v>190</v>
      </c>
      <c r="V108" s="3" t="str">
        <f t="shared" si="6"/>
        <v>STUDENT_107</v>
      </c>
      <c r="W108" s="3" t="str">
        <f t="shared" si="7"/>
        <v>107</v>
      </c>
    </row>
    <row r="109" spans="1:23" x14ac:dyDescent="0.3">
      <c r="A109" s="3" t="s">
        <v>248</v>
      </c>
      <c r="B109" s="3" t="s">
        <v>249</v>
      </c>
      <c r="C109" s="3" t="s">
        <v>35</v>
      </c>
      <c r="D109" s="3" t="s">
        <v>36</v>
      </c>
      <c r="E109" s="3">
        <v>6</v>
      </c>
      <c r="F109" s="4">
        <v>82.9</v>
      </c>
      <c r="G109" s="4">
        <v>7.7</v>
      </c>
      <c r="H109" s="4">
        <v>80.900000000000006</v>
      </c>
      <c r="I109" s="4">
        <v>62.1</v>
      </c>
      <c r="J109" s="4">
        <v>97.1</v>
      </c>
      <c r="K109" s="3">
        <v>3</v>
      </c>
      <c r="L109" s="3">
        <v>0</v>
      </c>
      <c r="M109" s="3">
        <v>1</v>
      </c>
      <c r="N109" s="3" t="s">
        <v>37</v>
      </c>
      <c r="O109" s="5">
        <v>13256</v>
      </c>
      <c r="P109" s="3" t="s">
        <v>28</v>
      </c>
      <c r="Q109" s="6">
        <v>83.36</v>
      </c>
      <c r="R109" s="7" t="str">
        <f>IF(Q109&gt;=KPI!$E$4,"A",IF(Q109&gt;=KPI!$E$5,"B",IF(Q109&gt;=KPI!$E$6,"C",IF(Q109&gt;=KPI!$E$7,"D","F"))))</f>
        <v>B</v>
      </c>
      <c r="S109" s="7">
        <f t="shared" si="4"/>
        <v>1</v>
      </c>
      <c r="T109" s="6">
        <f t="shared" si="5"/>
        <v>79.599999999999994</v>
      </c>
      <c r="U109" s="7">
        <f>RANK(Q109,$Q$2:$Q$251,0)+COUNTIF($Q$2:Q109,Q109)-1</f>
        <v>52</v>
      </c>
      <c r="V109" s="3" t="str">
        <f t="shared" si="6"/>
        <v>STUDENT_108</v>
      </c>
      <c r="W109" s="3" t="str">
        <f t="shared" si="7"/>
        <v>108</v>
      </c>
    </row>
    <row r="110" spans="1:23" x14ac:dyDescent="0.3">
      <c r="A110" s="3" t="s">
        <v>250</v>
      </c>
      <c r="B110" s="3" t="s">
        <v>251</v>
      </c>
      <c r="C110" s="3" t="s">
        <v>43</v>
      </c>
      <c r="D110" s="3" t="s">
        <v>36</v>
      </c>
      <c r="E110" s="3">
        <v>6</v>
      </c>
      <c r="F110" s="4">
        <v>74</v>
      </c>
      <c r="G110" s="4">
        <v>2</v>
      </c>
      <c r="H110" s="4">
        <v>71.8</v>
      </c>
      <c r="I110" s="4">
        <v>76.2</v>
      </c>
      <c r="J110" s="4">
        <v>71.599999999999994</v>
      </c>
      <c r="K110" s="3">
        <v>3</v>
      </c>
      <c r="L110" s="3">
        <v>0</v>
      </c>
      <c r="M110" s="3">
        <v>1</v>
      </c>
      <c r="N110" s="3" t="s">
        <v>37</v>
      </c>
      <c r="O110" s="5">
        <v>14409</v>
      </c>
      <c r="P110" s="3" t="s">
        <v>28</v>
      </c>
      <c r="Q110" s="6">
        <v>73.02</v>
      </c>
      <c r="R110" s="7" t="str">
        <f>IF(Q110&gt;=KPI!$E$4,"A",IF(Q110&gt;=KPI!$E$5,"B",IF(Q110&gt;=KPI!$E$6,"C",IF(Q110&gt;=KPI!$E$7,"D","F"))))</f>
        <v>C</v>
      </c>
      <c r="S110" s="7">
        <f t="shared" si="4"/>
        <v>1</v>
      </c>
      <c r="T110" s="6">
        <f t="shared" si="5"/>
        <v>73.900000000000006</v>
      </c>
      <c r="U110" s="7">
        <f>RANK(Q110,$Q$2:$Q$251,0)+COUNTIF($Q$2:Q110,Q110)-1</f>
        <v>152</v>
      </c>
      <c r="V110" s="3" t="str">
        <f t="shared" si="6"/>
        <v>STUDENT_109</v>
      </c>
      <c r="W110" s="3" t="str">
        <f t="shared" si="7"/>
        <v>109</v>
      </c>
    </row>
    <row r="111" spans="1:23" x14ac:dyDescent="0.3">
      <c r="A111" s="3" t="s">
        <v>252</v>
      </c>
      <c r="B111" s="3" t="s">
        <v>253</v>
      </c>
      <c r="C111" s="3" t="s">
        <v>43</v>
      </c>
      <c r="D111" s="3" t="s">
        <v>36</v>
      </c>
      <c r="E111" s="3">
        <v>3</v>
      </c>
      <c r="F111" s="4">
        <v>84.6</v>
      </c>
      <c r="G111" s="4">
        <v>4.9000000000000004</v>
      </c>
      <c r="H111" s="4">
        <v>68.8</v>
      </c>
      <c r="I111" s="4">
        <v>63.2</v>
      </c>
      <c r="J111" s="4">
        <v>74.8</v>
      </c>
      <c r="K111" s="3">
        <v>3</v>
      </c>
      <c r="L111" s="3">
        <v>4</v>
      </c>
      <c r="M111" s="3">
        <v>1</v>
      </c>
      <c r="N111" s="3" t="s">
        <v>37</v>
      </c>
      <c r="O111" s="5">
        <v>8017</v>
      </c>
      <c r="P111" s="3" t="s">
        <v>32</v>
      </c>
      <c r="Q111" s="6">
        <v>70.12</v>
      </c>
      <c r="R111" s="7" t="str">
        <f>IF(Q111&gt;=KPI!$E$4,"A",IF(Q111&gt;=KPI!$E$5,"B",IF(Q111&gt;=KPI!$E$6,"C",IF(Q111&gt;=KPI!$E$7,"D","F"))))</f>
        <v>C</v>
      </c>
      <c r="S111" s="7">
        <f t="shared" si="4"/>
        <v>0</v>
      </c>
      <c r="T111" s="6">
        <f t="shared" si="5"/>
        <v>69</v>
      </c>
      <c r="U111" s="7">
        <f>RANK(Q111,$Q$2:$Q$251,0)+COUNTIF($Q$2:Q111,Q111)-1</f>
        <v>185</v>
      </c>
      <c r="V111" s="3" t="str">
        <f t="shared" si="6"/>
        <v>STUDENT_110</v>
      </c>
      <c r="W111" s="3" t="str">
        <f t="shared" si="7"/>
        <v>110</v>
      </c>
    </row>
    <row r="112" spans="1:23" x14ac:dyDescent="0.3">
      <c r="A112" s="3" t="s">
        <v>254</v>
      </c>
      <c r="B112" s="3" t="s">
        <v>255</v>
      </c>
      <c r="C112" s="3" t="s">
        <v>25</v>
      </c>
      <c r="D112" s="3" t="s">
        <v>26</v>
      </c>
      <c r="E112" s="3">
        <v>1</v>
      </c>
      <c r="F112" s="4">
        <v>83.5</v>
      </c>
      <c r="G112" s="4">
        <v>3.9</v>
      </c>
      <c r="H112" s="4">
        <v>76.599999999999994</v>
      </c>
      <c r="I112" s="4">
        <v>72.2</v>
      </c>
      <c r="J112" s="4">
        <v>70.5</v>
      </c>
      <c r="K112" s="3">
        <v>5</v>
      </c>
      <c r="L112" s="3">
        <v>1</v>
      </c>
      <c r="M112" s="3">
        <v>0</v>
      </c>
      <c r="N112" s="3" t="s">
        <v>27</v>
      </c>
      <c r="O112" s="5">
        <v>0</v>
      </c>
      <c r="P112" s="3" t="s">
        <v>28</v>
      </c>
      <c r="Q112" s="6">
        <v>72.23</v>
      </c>
      <c r="R112" s="7" t="str">
        <f>IF(Q112&gt;=KPI!$E$4,"A",IF(Q112&gt;=KPI!$E$5,"B",IF(Q112&gt;=KPI!$E$6,"C",IF(Q112&gt;=KPI!$E$7,"D","F"))))</f>
        <v>C</v>
      </c>
      <c r="S112" s="7">
        <f t="shared" si="4"/>
        <v>1</v>
      </c>
      <c r="T112" s="6">
        <f t="shared" si="5"/>
        <v>71.349999999999994</v>
      </c>
      <c r="U112" s="7">
        <f>RANK(Q112,$Q$2:$Q$251,0)+COUNTIF($Q$2:Q112,Q112)-1</f>
        <v>159</v>
      </c>
      <c r="V112" s="3" t="str">
        <f t="shared" si="6"/>
        <v>STUDENT_111</v>
      </c>
      <c r="W112" s="3" t="str">
        <f t="shared" si="7"/>
        <v>111</v>
      </c>
    </row>
    <row r="113" spans="1:23" x14ac:dyDescent="0.3">
      <c r="A113" s="3" t="s">
        <v>256</v>
      </c>
      <c r="B113" s="3" t="s">
        <v>257</v>
      </c>
      <c r="C113" s="3" t="s">
        <v>43</v>
      </c>
      <c r="D113" s="3" t="s">
        <v>36</v>
      </c>
      <c r="E113" s="3">
        <v>1</v>
      </c>
      <c r="F113" s="4">
        <v>87.1</v>
      </c>
      <c r="G113" s="4">
        <v>3.7</v>
      </c>
      <c r="H113" s="4">
        <v>67.099999999999994</v>
      </c>
      <c r="I113" s="4">
        <v>61.8</v>
      </c>
      <c r="J113" s="4">
        <v>67.2</v>
      </c>
      <c r="K113" s="3">
        <v>3</v>
      </c>
      <c r="L113" s="3">
        <v>4</v>
      </c>
      <c r="M113" s="3">
        <v>0</v>
      </c>
      <c r="N113" s="3" t="s">
        <v>27</v>
      </c>
      <c r="O113" s="5">
        <v>0</v>
      </c>
      <c r="P113" s="3" t="s">
        <v>32</v>
      </c>
      <c r="Q113" s="6">
        <v>65.56</v>
      </c>
      <c r="R113" s="7" t="str">
        <f>IF(Q113&gt;=KPI!$E$4,"A",IF(Q113&gt;=KPI!$E$5,"B",IF(Q113&gt;=KPI!$E$6,"C",IF(Q113&gt;=KPI!$E$7,"D","F"))))</f>
        <v>C</v>
      </c>
      <c r="S113" s="7">
        <f t="shared" si="4"/>
        <v>0</v>
      </c>
      <c r="T113" s="6">
        <f t="shared" si="5"/>
        <v>64.5</v>
      </c>
      <c r="U113" s="7">
        <f>RANK(Q113,$Q$2:$Q$251,0)+COUNTIF($Q$2:Q113,Q113)-1</f>
        <v>210</v>
      </c>
      <c r="V113" s="3" t="str">
        <f t="shared" si="6"/>
        <v>STUDENT_112</v>
      </c>
      <c r="W113" s="3" t="str">
        <f t="shared" si="7"/>
        <v>112</v>
      </c>
    </row>
    <row r="114" spans="1:23" x14ac:dyDescent="0.3">
      <c r="A114" s="3" t="s">
        <v>258</v>
      </c>
      <c r="B114" s="3" t="s">
        <v>259</v>
      </c>
      <c r="C114" s="3" t="s">
        <v>31</v>
      </c>
      <c r="D114" s="3" t="s">
        <v>26</v>
      </c>
      <c r="E114" s="3">
        <v>8</v>
      </c>
      <c r="F114" s="4">
        <v>74.099999999999994</v>
      </c>
      <c r="G114" s="4">
        <v>5.8</v>
      </c>
      <c r="H114" s="4">
        <v>74.3</v>
      </c>
      <c r="I114" s="4">
        <v>50.5</v>
      </c>
      <c r="J114" s="4">
        <v>64.7</v>
      </c>
      <c r="K114" s="3">
        <v>4</v>
      </c>
      <c r="L114" s="3">
        <v>4</v>
      </c>
      <c r="M114" s="3">
        <v>2</v>
      </c>
      <c r="N114" s="3" t="s">
        <v>37</v>
      </c>
      <c r="O114" s="5">
        <v>15943</v>
      </c>
      <c r="P114" s="3" t="s">
        <v>32</v>
      </c>
      <c r="Q114" s="6">
        <v>62.36</v>
      </c>
      <c r="R114" s="7" t="str">
        <f>IF(Q114&gt;=KPI!$E$4,"A",IF(Q114&gt;=KPI!$E$5,"B",IF(Q114&gt;=KPI!$E$6,"C",IF(Q114&gt;=KPI!$E$7,"D","F"))))</f>
        <v>D</v>
      </c>
      <c r="S114" s="7">
        <f t="shared" si="4"/>
        <v>0</v>
      </c>
      <c r="T114" s="6">
        <f t="shared" si="5"/>
        <v>57.6</v>
      </c>
      <c r="U114" s="7">
        <f>RANK(Q114,$Q$2:$Q$251,0)+COUNTIF($Q$2:Q114,Q114)-1</f>
        <v>232</v>
      </c>
      <c r="V114" s="3" t="str">
        <f t="shared" si="6"/>
        <v>STUDENT_113</v>
      </c>
      <c r="W114" s="3" t="str">
        <f t="shared" si="7"/>
        <v>113</v>
      </c>
    </row>
    <row r="115" spans="1:23" x14ac:dyDescent="0.3">
      <c r="A115" s="3" t="s">
        <v>260</v>
      </c>
      <c r="B115" s="3" t="s">
        <v>261</v>
      </c>
      <c r="C115" s="3" t="s">
        <v>35</v>
      </c>
      <c r="D115" s="3" t="s">
        <v>36</v>
      </c>
      <c r="E115" s="3">
        <v>7</v>
      </c>
      <c r="F115" s="4">
        <v>78.400000000000006</v>
      </c>
      <c r="G115" s="4">
        <v>3.7</v>
      </c>
      <c r="H115" s="4">
        <v>62.5</v>
      </c>
      <c r="I115" s="4">
        <v>84.8</v>
      </c>
      <c r="J115" s="4">
        <v>73.099999999999994</v>
      </c>
      <c r="K115" s="3">
        <v>2</v>
      </c>
      <c r="L115" s="3">
        <v>2</v>
      </c>
      <c r="M115" s="3">
        <v>0</v>
      </c>
      <c r="N115" s="3" t="s">
        <v>27</v>
      </c>
      <c r="O115" s="5">
        <v>0</v>
      </c>
      <c r="P115" s="3" t="s">
        <v>28</v>
      </c>
      <c r="Q115" s="6">
        <v>74.489999999999995</v>
      </c>
      <c r="R115" s="7" t="str">
        <f>IF(Q115&gt;=KPI!$E$4,"A",IF(Q115&gt;=KPI!$E$5,"B",IF(Q115&gt;=KPI!$E$6,"C",IF(Q115&gt;=KPI!$E$7,"D","F"))))</f>
        <v>C</v>
      </c>
      <c r="S115" s="7">
        <f t="shared" si="4"/>
        <v>1</v>
      </c>
      <c r="T115" s="6">
        <f t="shared" si="5"/>
        <v>78.949999999999989</v>
      </c>
      <c r="U115" s="7">
        <f>RANK(Q115,$Q$2:$Q$251,0)+COUNTIF($Q$2:Q115,Q115)-1</f>
        <v>139</v>
      </c>
      <c r="V115" s="3" t="str">
        <f t="shared" si="6"/>
        <v>STUDENT_114</v>
      </c>
      <c r="W115" s="3" t="str">
        <f t="shared" si="7"/>
        <v>114</v>
      </c>
    </row>
    <row r="116" spans="1:23" x14ac:dyDescent="0.3">
      <c r="A116" s="3" t="s">
        <v>262</v>
      </c>
      <c r="B116" s="3" t="s">
        <v>263</v>
      </c>
      <c r="C116" s="3" t="s">
        <v>40</v>
      </c>
      <c r="D116" s="3" t="s">
        <v>36</v>
      </c>
      <c r="E116" s="3">
        <v>7</v>
      </c>
      <c r="F116" s="4">
        <v>86.6</v>
      </c>
      <c r="G116" s="4">
        <v>3.9</v>
      </c>
      <c r="H116" s="4">
        <v>73.5</v>
      </c>
      <c r="I116" s="4">
        <v>79</v>
      </c>
      <c r="J116" s="4">
        <v>83.5</v>
      </c>
      <c r="K116" s="3">
        <v>5</v>
      </c>
      <c r="L116" s="3">
        <v>2</v>
      </c>
      <c r="M116" s="3">
        <v>1</v>
      </c>
      <c r="N116" s="3" t="s">
        <v>27</v>
      </c>
      <c r="O116" s="5">
        <v>0</v>
      </c>
      <c r="P116" s="3" t="s">
        <v>28</v>
      </c>
      <c r="Q116" s="6">
        <v>80.150000000000006</v>
      </c>
      <c r="R116" s="7" t="str">
        <f>IF(Q116&gt;=KPI!$E$4,"A",IF(Q116&gt;=KPI!$E$5,"B",IF(Q116&gt;=KPI!$E$6,"C",IF(Q116&gt;=KPI!$E$7,"D","F"))))</f>
        <v>B</v>
      </c>
      <c r="S116" s="7">
        <f t="shared" si="4"/>
        <v>1</v>
      </c>
      <c r="T116" s="6">
        <f t="shared" si="5"/>
        <v>81.25</v>
      </c>
      <c r="U116" s="7">
        <f>RANK(Q116,$Q$2:$Q$251,0)+COUNTIF($Q$2:Q116,Q116)-1</f>
        <v>83</v>
      </c>
      <c r="V116" s="3" t="str">
        <f t="shared" si="6"/>
        <v>STUDENT_115</v>
      </c>
      <c r="W116" s="3" t="str">
        <f t="shared" si="7"/>
        <v>115</v>
      </c>
    </row>
    <row r="117" spans="1:23" x14ac:dyDescent="0.3">
      <c r="A117" s="3" t="s">
        <v>264</v>
      </c>
      <c r="B117" s="3" t="s">
        <v>265</v>
      </c>
      <c r="C117" s="3" t="s">
        <v>31</v>
      </c>
      <c r="D117" s="3" t="s">
        <v>26</v>
      </c>
      <c r="E117" s="3">
        <v>7</v>
      </c>
      <c r="F117" s="4">
        <v>93.2</v>
      </c>
      <c r="G117" s="4">
        <v>4.5</v>
      </c>
      <c r="H117" s="4">
        <v>81.8</v>
      </c>
      <c r="I117" s="4">
        <v>100</v>
      </c>
      <c r="J117" s="4">
        <v>89.9</v>
      </c>
      <c r="K117" s="3">
        <v>3</v>
      </c>
      <c r="L117" s="3">
        <v>2</v>
      </c>
      <c r="M117" s="3">
        <v>3</v>
      </c>
      <c r="N117" s="3" t="s">
        <v>27</v>
      </c>
      <c r="O117" s="5">
        <v>0</v>
      </c>
      <c r="P117" s="3" t="s">
        <v>32</v>
      </c>
      <c r="Q117" s="6">
        <v>91.31</v>
      </c>
      <c r="R117" s="7" t="str">
        <f>IF(Q117&gt;=KPI!$E$4,"A",IF(Q117&gt;=KPI!$E$5,"B",IF(Q117&gt;=KPI!$E$6,"C",IF(Q117&gt;=KPI!$E$7,"D","F"))))</f>
        <v>A</v>
      </c>
      <c r="S117" s="7">
        <f t="shared" si="4"/>
        <v>0</v>
      </c>
      <c r="T117" s="6">
        <f t="shared" si="5"/>
        <v>94.95</v>
      </c>
      <c r="U117" s="7">
        <f>RANK(Q117,$Q$2:$Q$251,0)+COUNTIF($Q$2:Q117,Q117)-1</f>
        <v>6</v>
      </c>
      <c r="V117" s="3" t="str">
        <f t="shared" si="6"/>
        <v>STUDENT_116</v>
      </c>
      <c r="W117" s="3" t="str">
        <f t="shared" si="7"/>
        <v>116</v>
      </c>
    </row>
    <row r="118" spans="1:23" x14ac:dyDescent="0.3">
      <c r="A118" s="3" t="s">
        <v>266</v>
      </c>
      <c r="B118" s="3" t="s">
        <v>267</v>
      </c>
      <c r="C118" s="3" t="s">
        <v>35</v>
      </c>
      <c r="D118" s="3" t="s">
        <v>36</v>
      </c>
      <c r="E118" s="3">
        <v>7</v>
      </c>
      <c r="F118" s="4">
        <v>90.7</v>
      </c>
      <c r="G118" s="4">
        <v>4.0999999999999996</v>
      </c>
      <c r="H118" s="4">
        <v>68.3</v>
      </c>
      <c r="I118" s="4">
        <v>57.4</v>
      </c>
      <c r="J118" s="4">
        <v>76.400000000000006</v>
      </c>
      <c r="K118" s="3">
        <v>1</v>
      </c>
      <c r="L118" s="3">
        <v>1</v>
      </c>
      <c r="M118" s="3">
        <v>0</v>
      </c>
      <c r="N118" s="3" t="s">
        <v>27</v>
      </c>
      <c r="O118" s="5">
        <v>0</v>
      </c>
      <c r="P118" s="3" t="s">
        <v>32</v>
      </c>
      <c r="Q118" s="6">
        <v>69.08</v>
      </c>
      <c r="R118" s="7" t="str">
        <f>IF(Q118&gt;=KPI!$E$4,"A",IF(Q118&gt;=KPI!$E$5,"B",IF(Q118&gt;=KPI!$E$6,"C",IF(Q118&gt;=KPI!$E$7,"D","F"))))</f>
        <v>C</v>
      </c>
      <c r="S118" s="7">
        <f t="shared" si="4"/>
        <v>0</v>
      </c>
      <c r="T118" s="6">
        <f t="shared" si="5"/>
        <v>66.900000000000006</v>
      </c>
      <c r="U118" s="7">
        <f>RANK(Q118,$Q$2:$Q$251,0)+COUNTIF($Q$2:Q118,Q118)-1</f>
        <v>196</v>
      </c>
      <c r="V118" s="3" t="str">
        <f t="shared" si="6"/>
        <v>STUDENT_117</v>
      </c>
      <c r="W118" s="3" t="str">
        <f t="shared" si="7"/>
        <v>117</v>
      </c>
    </row>
    <row r="119" spans="1:23" x14ac:dyDescent="0.3">
      <c r="A119" s="3" t="s">
        <v>268</v>
      </c>
      <c r="B119" s="3" t="s">
        <v>269</v>
      </c>
      <c r="C119" s="3" t="s">
        <v>43</v>
      </c>
      <c r="D119" s="3" t="s">
        <v>36</v>
      </c>
      <c r="E119" s="3">
        <v>5</v>
      </c>
      <c r="F119" s="4">
        <v>82.7</v>
      </c>
      <c r="G119" s="4">
        <v>2.7</v>
      </c>
      <c r="H119" s="4">
        <v>76.099999999999994</v>
      </c>
      <c r="I119" s="4">
        <v>69.099999999999994</v>
      </c>
      <c r="J119" s="4">
        <v>90.7</v>
      </c>
      <c r="K119" s="3">
        <v>1</v>
      </c>
      <c r="L119" s="3">
        <v>1</v>
      </c>
      <c r="M119" s="3">
        <v>1</v>
      </c>
      <c r="N119" s="3" t="s">
        <v>37</v>
      </c>
      <c r="O119" s="5">
        <v>5134</v>
      </c>
      <c r="P119" s="3" t="s">
        <v>28</v>
      </c>
      <c r="Q119" s="6">
        <v>81.3</v>
      </c>
      <c r="R119" s="7" t="str">
        <f>IF(Q119&gt;=KPI!$E$4,"A",IF(Q119&gt;=KPI!$E$5,"B",IF(Q119&gt;=KPI!$E$6,"C",IF(Q119&gt;=KPI!$E$7,"D","F"))))</f>
        <v>B</v>
      </c>
      <c r="S119" s="7">
        <f t="shared" si="4"/>
        <v>1</v>
      </c>
      <c r="T119" s="6">
        <f t="shared" si="5"/>
        <v>79.900000000000006</v>
      </c>
      <c r="U119" s="7">
        <f>RANK(Q119,$Q$2:$Q$251,0)+COUNTIF($Q$2:Q119,Q119)-1</f>
        <v>68</v>
      </c>
      <c r="V119" s="3" t="str">
        <f t="shared" si="6"/>
        <v>STUDENT_118</v>
      </c>
      <c r="W119" s="3" t="str">
        <f t="shared" si="7"/>
        <v>118</v>
      </c>
    </row>
    <row r="120" spans="1:23" x14ac:dyDescent="0.3">
      <c r="A120" s="3" t="s">
        <v>270</v>
      </c>
      <c r="B120" s="3" t="s">
        <v>271</v>
      </c>
      <c r="C120" s="3" t="s">
        <v>31</v>
      </c>
      <c r="D120" s="3" t="s">
        <v>26</v>
      </c>
      <c r="E120" s="3">
        <v>5</v>
      </c>
      <c r="F120" s="4">
        <v>77.599999999999994</v>
      </c>
      <c r="G120" s="4">
        <v>6.2</v>
      </c>
      <c r="H120" s="4">
        <v>77.8</v>
      </c>
      <c r="I120" s="4">
        <v>70.2</v>
      </c>
      <c r="J120" s="4">
        <v>76.900000000000006</v>
      </c>
      <c r="K120" s="3">
        <v>2</v>
      </c>
      <c r="L120" s="3">
        <v>4</v>
      </c>
      <c r="M120" s="3">
        <v>0</v>
      </c>
      <c r="N120" s="3" t="s">
        <v>37</v>
      </c>
      <c r="O120" s="5">
        <v>17791</v>
      </c>
      <c r="P120" s="3" t="s">
        <v>28</v>
      </c>
      <c r="Q120" s="6">
        <v>75.069999999999993</v>
      </c>
      <c r="R120" s="7" t="str">
        <f>IF(Q120&gt;=KPI!$E$4,"A",IF(Q120&gt;=KPI!$E$5,"B",IF(Q120&gt;=KPI!$E$6,"C",IF(Q120&gt;=KPI!$E$7,"D","F"))))</f>
        <v>B</v>
      </c>
      <c r="S120" s="7">
        <f t="shared" si="4"/>
        <v>1</v>
      </c>
      <c r="T120" s="6">
        <f t="shared" si="5"/>
        <v>73.550000000000011</v>
      </c>
      <c r="U120" s="7">
        <f>RANK(Q120,$Q$2:$Q$251,0)+COUNTIF($Q$2:Q120,Q120)-1</f>
        <v>133</v>
      </c>
      <c r="V120" s="3" t="str">
        <f t="shared" si="6"/>
        <v>STUDENT_119</v>
      </c>
      <c r="W120" s="3" t="str">
        <f t="shared" si="7"/>
        <v>119</v>
      </c>
    </row>
    <row r="121" spans="1:23" x14ac:dyDescent="0.3">
      <c r="A121" s="3" t="s">
        <v>272</v>
      </c>
      <c r="B121" s="3" t="s">
        <v>273</v>
      </c>
      <c r="C121" s="3" t="s">
        <v>40</v>
      </c>
      <c r="D121" s="3" t="s">
        <v>26</v>
      </c>
      <c r="E121" s="3">
        <v>6</v>
      </c>
      <c r="F121" s="4">
        <v>85.6</v>
      </c>
      <c r="G121" s="4">
        <v>6.7</v>
      </c>
      <c r="H121" s="4">
        <v>81.900000000000006</v>
      </c>
      <c r="I121" s="4">
        <v>85.9</v>
      </c>
      <c r="J121" s="4">
        <v>90.7</v>
      </c>
      <c r="K121" s="3">
        <v>0</v>
      </c>
      <c r="L121" s="3">
        <v>2</v>
      </c>
      <c r="M121" s="3">
        <v>0</v>
      </c>
      <c r="N121" s="3" t="s">
        <v>37</v>
      </c>
      <c r="O121" s="5">
        <v>17747</v>
      </c>
      <c r="P121" s="3" t="s">
        <v>32</v>
      </c>
      <c r="Q121" s="6">
        <v>87.5</v>
      </c>
      <c r="R121" s="7" t="str">
        <f>IF(Q121&gt;=KPI!$E$4,"A",IF(Q121&gt;=KPI!$E$5,"B",IF(Q121&gt;=KPI!$E$6,"C",IF(Q121&gt;=KPI!$E$7,"D","F"))))</f>
        <v>A</v>
      </c>
      <c r="S121" s="7">
        <f t="shared" si="4"/>
        <v>0</v>
      </c>
      <c r="T121" s="6">
        <f t="shared" si="5"/>
        <v>88.300000000000011</v>
      </c>
      <c r="U121" s="7">
        <f>RANK(Q121,$Q$2:$Q$251,0)+COUNTIF($Q$2:Q121,Q121)-1</f>
        <v>16</v>
      </c>
      <c r="V121" s="3" t="str">
        <f t="shared" si="6"/>
        <v>STUDENT_120</v>
      </c>
      <c r="W121" s="3" t="str">
        <f t="shared" si="7"/>
        <v>120</v>
      </c>
    </row>
    <row r="122" spans="1:23" x14ac:dyDescent="0.3">
      <c r="A122" s="3" t="s">
        <v>274</v>
      </c>
      <c r="B122" s="3" t="s">
        <v>275</v>
      </c>
      <c r="C122" s="3" t="s">
        <v>35</v>
      </c>
      <c r="D122" s="3" t="s">
        <v>26</v>
      </c>
      <c r="E122" s="3">
        <v>2</v>
      </c>
      <c r="F122" s="4">
        <v>72.2</v>
      </c>
      <c r="G122" s="4">
        <v>5.4</v>
      </c>
      <c r="H122" s="4">
        <v>74.3</v>
      </c>
      <c r="I122" s="4">
        <v>64.900000000000006</v>
      </c>
      <c r="J122" s="4">
        <v>75.7</v>
      </c>
      <c r="K122" s="3">
        <v>0</v>
      </c>
      <c r="L122" s="3">
        <v>1</v>
      </c>
      <c r="M122" s="3">
        <v>0</v>
      </c>
      <c r="N122" s="3" t="s">
        <v>37</v>
      </c>
      <c r="O122" s="5">
        <v>9166</v>
      </c>
      <c r="P122" s="3" t="s">
        <v>28</v>
      </c>
      <c r="Q122" s="6">
        <v>72.180000000000007</v>
      </c>
      <c r="R122" s="7" t="str">
        <f>IF(Q122&gt;=KPI!$E$4,"A",IF(Q122&gt;=KPI!$E$5,"B",IF(Q122&gt;=KPI!$E$6,"C",IF(Q122&gt;=KPI!$E$7,"D","F"))))</f>
        <v>C</v>
      </c>
      <c r="S122" s="7">
        <f t="shared" si="4"/>
        <v>1</v>
      </c>
      <c r="T122" s="6">
        <f t="shared" si="5"/>
        <v>70.300000000000011</v>
      </c>
      <c r="U122" s="7">
        <f>RANK(Q122,$Q$2:$Q$251,0)+COUNTIF($Q$2:Q122,Q122)-1</f>
        <v>160</v>
      </c>
      <c r="V122" s="3" t="str">
        <f t="shared" si="6"/>
        <v>STUDENT_121</v>
      </c>
      <c r="W122" s="3" t="str">
        <f t="shared" si="7"/>
        <v>121</v>
      </c>
    </row>
    <row r="123" spans="1:23" x14ac:dyDescent="0.3">
      <c r="A123" s="3" t="s">
        <v>276</v>
      </c>
      <c r="B123" s="3" t="s">
        <v>277</v>
      </c>
      <c r="C123" s="3" t="s">
        <v>31</v>
      </c>
      <c r="D123" s="3" t="s">
        <v>26</v>
      </c>
      <c r="E123" s="3">
        <v>3</v>
      </c>
      <c r="F123" s="4">
        <v>74.599999999999994</v>
      </c>
      <c r="G123" s="4">
        <v>4.0999999999999996</v>
      </c>
      <c r="H123" s="4">
        <v>90.1</v>
      </c>
      <c r="I123" s="4">
        <v>55.6</v>
      </c>
      <c r="J123" s="4">
        <v>83.3</v>
      </c>
      <c r="K123" s="3">
        <v>5</v>
      </c>
      <c r="L123" s="3">
        <v>0</v>
      </c>
      <c r="M123" s="3">
        <v>0</v>
      </c>
      <c r="N123" s="3" t="s">
        <v>27</v>
      </c>
      <c r="O123" s="5">
        <v>0</v>
      </c>
      <c r="P123" s="3" t="s">
        <v>28</v>
      </c>
      <c r="Q123" s="6">
        <v>76.349999999999994</v>
      </c>
      <c r="R123" s="7" t="str">
        <f>IF(Q123&gt;=KPI!$E$4,"A",IF(Q123&gt;=KPI!$E$5,"B",IF(Q123&gt;=KPI!$E$6,"C",IF(Q123&gt;=KPI!$E$7,"D","F"))))</f>
        <v>B</v>
      </c>
      <c r="S123" s="7">
        <f t="shared" si="4"/>
        <v>1</v>
      </c>
      <c r="T123" s="6">
        <f t="shared" si="5"/>
        <v>69.45</v>
      </c>
      <c r="U123" s="7">
        <f>RANK(Q123,$Q$2:$Q$251,0)+COUNTIF($Q$2:Q123,Q123)-1</f>
        <v>119</v>
      </c>
      <c r="V123" s="3" t="str">
        <f t="shared" si="6"/>
        <v>STUDENT_122</v>
      </c>
      <c r="W123" s="3" t="str">
        <f t="shared" si="7"/>
        <v>122</v>
      </c>
    </row>
    <row r="124" spans="1:23" x14ac:dyDescent="0.3">
      <c r="A124" s="3" t="s">
        <v>278</v>
      </c>
      <c r="B124" s="3" t="s">
        <v>279</v>
      </c>
      <c r="C124" s="3" t="s">
        <v>25</v>
      </c>
      <c r="D124" s="3" t="s">
        <v>26</v>
      </c>
      <c r="E124" s="3">
        <v>3</v>
      </c>
      <c r="F124" s="4">
        <v>95.6</v>
      </c>
      <c r="G124" s="4">
        <v>3.5</v>
      </c>
      <c r="H124" s="4">
        <v>48.7</v>
      </c>
      <c r="I124" s="4">
        <v>88.9</v>
      </c>
      <c r="J124" s="4">
        <v>77.7</v>
      </c>
      <c r="K124" s="3">
        <v>5</v>
      </c>
      <c r="L124" s="3">
        <v>4</v>
      </c>
      <c r="M124" s="3">
        <v>1</v>
      </c>
      <c r="N124" s="3" t="s">
        <v>37</v>
      </c>
      <c r="O124" s="5">
        <v>9694</v>
      </c>
      <c r="P124" s="3" t="s">
        <v>28</v>
      </c>
      <c r="Q124" s="6">
        <v>75.260000000000005</v>
      </c>
      <c r="R124" s="7" t="str">
        <f>IF(Q124&gt;=KPI!$E$4,"A",IF(Q124&gt;=KPI!$E$5,"B",IF(Q124&gt;=KPI!$E$6,"C",IF(Q124&gt;=KPI!$E$7,"D","F"))))</f>
        <v>B</v>
      </c>
      <c r="S124" s="7">
        <f t="shared" si="4"/>
        <v>1</v>
      </c>
      <c r="T124" s="6">
        <f t="shared" si="5"/>
        <v>83.300000000000011</v>
      </c>
      <c r="U124" s="7">
        <f>RANK(Q124,$Q$2:$Q$251,0)+COUNTIF($Q$2:Q124,Q124)-1</f>
        <v>127</v>
      </c>
      <c r="V124" s="3" t="str">
        <f t="shared" si="6"/>
        <v>STUDENT_123</v>
      </c>
      <c r="W124" s="3" t="str">
        <f t="shared" si="7"/>
        <v>123</v>
      </c>
    </row>
    <row r="125" spans="1:23" x14ac:dyDescent="0.3">
      <c r="A125" s="3" t="s">
        <v>280</v>
      </c>
      <c r="B125" s="3" t="s">
        <v>281</v>
      </c>
      <c r="C125" s="3" t="s">
        <v>43</v>
      </c>
      <c r="D125" s="3" t="s">
        <v>36</v>
      </c>
      <c r="E125" s="3">
        <v>7</v>
      </c>
      <c r="F125" s="4">
        <v>85.6</v>
      </c>
      <c r="G125" s="4">
        <v>3.5</v>
      </c>
      <c r="H125" s="4">
        <v>100</v>
      </c>
      <c r="I125" s="4">
        <v>67.599999999999994</v>
      </c>
      <c r="J125" s="4">
        <v>73.7</v>
      </c>
      <c r="K125" s="3">
        <v>5</v>
      </c>
      <c r="L125" s="3">
        <v>3</v>
      </c>
      <c r="M125" s="3">
        <v>1</v>
      </c>
      <c r="N125" s="3" t="s">
        <v>37</v>
      </c>
      <c r="O125" s="5">
        <v>14976</v>
      </c>
      <c r="P125" s="3" t="s">
        <v>28</v>
      </c>
      <c r="Q125" s="6">
        <v>77.13</v>
      </c>
      <c r="R125" s="7" t="str">
        <f>IF(Q125&gt;=KPI!$E$4,"A",IF(Q125&gt;=KPI!$E$5,"B",IF(Q125&gt;=KPI!$E$6,"C",IF(Q125&gt;=KPI!$E$7,"D","F"))))</f>
        <v>B</v>
      </c>
      <c r="S125" s="7">
        <f t="shared" si="4"/>
        <v>1</v>
      </c>
      <c r="T125" s="6">
        <f t="shared" si="5"/>
        <v>70.650000000000006</v>
      </c>
      <c r="U125" s="7">
        <f>RANK(Q125,$Q$2:$Q$251,0)+COUNTIF($Q$2:Q125,Q125)-1</f>
        <v>109</v>
      </c>
      <c r="V125" s="3" t="str">
        <f t="shared" si="6"/>
        <v>STUDENT_124</v>
      </c>
      <c r="W125" s="3" t="str">
        <f t="shared" si="7"/>
        <v>124</v>
      </c>
    </row>
    <row r="126" spans="1:23" x14ac:dyDescent="0.3">
      <c r="A126" s="3" t="s">
        <v>282</v>
      </c>
      <c r="B126" s="3" t="s">
        <v>283</v>
      </c>
      <c r="C126" s="3" t="s">
        <v>43</v>
      </c>
      <c r="D126" s="3" t="s">
        <v>26</v>
      </c>
      <c r="E126" s="3">
        <v>6</v>
      </c>
      <c r="F126" s="4">
        <v>78.900000000000006</v>
      </c>
      <c r="G126" s="4">
        <v>9</v>
      </c>
      <c r="H126" s="4">
        <v>64.7</v>
      </c>
      <c r="I126" s="4">
        <v>84.3</v>
      </c>
      <c r="J126" s="4">
        <v>79</v>
      </c>
      <c r="K126" s="3">
        <v>0</v>
      </c>
      <c r="L126" s="3">
        <v>4</v>
      </c>
      <c r="M126" s="3">
        <v>1</v>
      </c>
      <c r="N126" s="3" t="s">
        <v>27</v>
      </c>
      <c r="O126" s="5">
        <v>0</v>
      </c>
      <c r="P126" s="3" t="s">
        <v>28</v>
      </c>
      <c r="Q126" s="6">
        <v>77.73</v>
      </c>
      <c r="R126" s="7" t="str">
        <f>IF(Q126&gt;=KPI!$E$4,"A",IF(Q126&gt;=KPI!$E$5,"B",IF(Q126&gt;=KPI!$E$6,"C",IF(Q126&gt;=KPI!$E$7,"D","F"))))</f>
        <v>B</v>
      </c>
      <c r="S126" s="7">
        <f t="shared" si="4"/>
        <v>1</v>
      </c>
      <c r="T126" s="6">
        <f t="shared" si="5"/>
        <v>81.650000000000006</v>
      </c>
      <c r="U126" s="7">
        <f>RANK(Q126,$Q$2:$Q$251,0)+COUNTIF($Q$2:Q126,Q126)-1</f>
        <v>102</v>
      </c>
      <c r="V126" s="3" t="str">
        <f t="shared" si="6"/>
        <v>STUDENT_125</v>
      </c>
      <c r="W126" s="3" t="str">
        <f t="shared" si="7"/>
        <v>125</v>
      </c>
    </row>
    <row r="127" spans="1:23" x14ac:dyDescent="0.3">
      <c r="A127" s="3" t="s">
        <v>284</v>
      </c>
      <c r="B127" s="3" t="s">
        <v>285</v>
      </c>
      <c r="C127" s="3" t="s">
        <v>25</v>
      </c>
      <c r="D127" s="3" t="s">
        <v>26</v>
      </c>
      <c r="E127" s="3">
        <v>8</v>
      </c>
      <c r="F127" s="4">
        <v>89.5</v>
      </c>
      <c r="G127" s="4">
        <v>6.5</v>
      </c>
      <c r="H127" s="4">
        <v>81.2</v>
      </c>
      <c r="I127" s="4">
        <v>82.7</v>
      </c>
      <c r="J127" s="4">
        <v>88</v>
      </c>
      <c r="K127" s="3">
        <v>1</v>
      </c>
      <c r="L127" s="3">
        <v>3</v>
      </c>
      <c r="M127" s="3">
        <v>0</v>
      </c>
      <c r="N127" s="3" t="s">
        <v>27</v>
      </c>
      <c r="O127" s="5">
        <v>0</v>
      </c>
      <c r="P127" s="3" t="s">
        <v>32</v>
      </c>
      <c r="Q127" s="6">
        <v>85.05</v>
      </c>
      <c r="R127" s="7" t="str">
        <f>IF(Q127&gt;=KPI!$E$4,"A",IF(Q127&gt;=KPI!$E$5,"B",IF(Q127&gt;=KPI!$E$6,"C",IF(Q127&gt;=KPI!$E$7,"D","F"))))</f>
        <v>A</v>
      </c>
      <c r="S127" s="7">
        <f t="shared" si="4"/>
        <v>0</v>
      </c>
      <c r="T127" s="6">
        <f t="shared" si="5"/>
        <v>85.35</v>
      </c>
      <c r="U127" s="7">
        <f>RANK(Q127,$Q$2:$Q$251,0)+COUNTIF($Q$2:Q127,Q127)-1</f>
        <v>37</v>
      </c>
      <c r="V127" s="3" t="str">
        <f t="shared" si="6"/>
        <v>STUDENT_126</v>
      </c>
      <c r="W127" s="3" t="str">
        <f t="shared" si="7"/>
        <v>126</v>
      </c>
    </row>
    <row r="128" spans="1:23" x14ac:dyDescent="0.3">
      <c r="A128" s="3" t="s">
        <v>286</v>
      </c>
      <c r="B128" s="3" t="s">
        <v>287</v>
      </c>
      <c r="C128" s="3" t="s">
        <v>35</v>
      </c>
      <c r="D128" s="3" t="s">
        <v>36</v>
      </c>
      <c r="E128" s="3">
        <v>4</v>
      </c>
      <c r="F128" s="4">
        <v>93.6</v>
      </c>
      <c r="G128" s="4">
        <v>3.3</v>
      </c>
      <c r="H128" s="4">
        <v>63.8</v>
      </c>
      <c r="I128" s="4">
        <v>71.599999999999994</v>
      </c>
      <c r="J128" s="4">
        <v>70.400000000000006</v>
      </c>
      <c r="K128" s="3">
        <v>0</v>
      </c>
      <c r="L128" s="3">
        <v>2</v>
      </c>
      <c r="M128" s="3">
        <v>0</v>
      </c>
      <c r="N128" s="3" t="s">
        <v>37</v>
      </c>
      <c r="O128" s="5">
        <v>8164</v>
      </c>
      <c r="P128" s="3" t="s">
        <v>28</v>
      </c>
      <c r="Q128" s="6">
        <v>69.44</v>
      </c>
      <c r="R128" s="7" t="str">
        <f>IF(Q128&gt;=KPI!$E$4,"A",IF(Q128&gt;=KPI!$E$5,"B",IF(Q128&gt;=KPI!$E$6,"C",IF(Q128&gt;=KPI!$E$7,"D","F"))))</f>
        <v>C</v>
      </c>
      <c r="S128" s="7">
        <f t="shared" si="4"/>
        <v>1</v>
      </c>
      <c r="T128" s="6">
        <f t="shared" si="5"/>
        <v>71</v>
      </c>
      <c r="U128" s="7">
        <f>RANK(Q128,$Q$2:$Q$251,0)+COUNTIF($Q$2:Q128,Q128)-1</f>
        <v>195</v>
      </c>
      <c r="V128" s="3" t="str">
        <f t="shared" si="6"/>
        <v>STUDENT_127</v>
      </c>
      <c r="W128" s="3" t="str">
        <f t="shared" si="7"/>
        <v>127</v>
      </c>
    </row>
    <row r="129" spans="1:23" x14ac:dyDescent="0.3">
      <c r="A129" s="3" t="s">
        <v>288</v>
      </c>
      <c r="B129" s="3" t="s">
        <v>289</v>
      </c>
      <c r="C129" s="3" t="s">
        <v>31</v>
      </c>
      <c r="D129" s="3" t="s">
        <v>26</v>
      </c>
      <c r="E129" s="3">
        <v>2</v>
      </c>
      <c r="F129" s="4"/>
      <c r="G129" s="4">
        <v>5.0999999999999996</v>
      </c>
      <c r="H129" s="4">
        <v>84.4</v>
      </c>
      <c r="I129" s="4">
        <v>69.599999999999994</v>
      </c>
      <c r="J129" s="4">
        <v>92.3</v>
      </c>
      <c r="K129" s="3">
        <v>4</v>
      </c>
      <c r="L129" s="3">
        <v>3</v>
      </c>
      <c r="M129" s="3">
        <v>1</v>
      </c>
      <c r="N129" s="3" t="s">
        <v>37</v>
      </c>
      <c r="O129" s="5">
        <v>6346</v>
      </c>
      <c r="P129" s="3" t="s">
        <v>28</v>
      </c>
      <c r="Q129" s="6">
        <v>83.91</v>
      </c>
      <c r="R129" s="7" t="str">
        <f>IF(Q129&gt;=KPI!$E$4,"A",IF(Q129&gt;=KPI!$E$5,"B",IF(Q129&gt;=KPI!$E$6,"C",IF(Q129&gt;=KPI!$E$7,"D","F"))))</f>
        <v>B</v>
      </c>
      <c r="S129" s="7">
        <f t="shared" si="4"/>
        <v>1</v>
      </c>
      <c r="T129" s="6">
        <f t="shared" si="5"/>
        <v>80.949999999999989</v>
      </c>
      <c r="U129" s="7">
        <f>RANK(Q129,$Q$2:$Q$251,0)+COUNTIF($Q$2:Q129,Q129)-1</f>
        <v>43</v>
      </c>
      <c r="V129" s="3" t="str">
        <f t="shared" si="6"/>
        <v>STUDENT_128</v>
      </c>
      <c r="W129" s="3" t="str">
        <f t="shared" si="7"/>
        <v>128</v>
      </c>
    </row>
    <row r="130" spans="1:23" x14ac:dyDescent="0.3">
      <c r="A130" s="3" t="s">
        <v>290</v>
      </c>
      <c r="B130" s="3" t="s">
        <v>291</v>
      </c>
      <c r="C130" s="3" t="s">
        <v>43</v>
      </c>
      <c r="D130" s="3" t="s">
        <v>36</v>
      </c>
      <c r="E130" s="3">
        <v>6</v>
      </c>
      <c r="F130" s="4">
        <v>78.2</v>
      </c>
      <c r="G130" s="4">
        <v>4.0999999999999996</v>
      </c>
      <c r="H130" s="4">
        <v>79.599999999999994</v>
      </c>
      <c r="I130" s="4">
        <v>66.5</v>
      </c>
      <c r="J130" s="4">
        <v>86.1</v>
      </c>
      <c r="K130" s="3">
        <v>3</v>
      </c>
      <c r="L130" s="3">
        <v>2</v>
      </c>
      <c r="M130" s="3">
        <v>0</v>
      </c>
      <c r="N130" s="3" t="s">
        <v>37</v>
      </c>
      <c r="O130" s="5">
        <v>9039</v>
      </c>
      <c r="P130" s="3" t="s">
        <v>28</v>
      </c>
      <c r="Q130" s="6">
        <v>78.92</v>
      </c>
      <c r="R130" s="7" t="str">
        <f>IF(Q130&gt;=KPI!$E$4,"A",IF(Q130&gt;=KPI!$E$5,"B",IF(Q130&gt;=KPI!$E$6,"C",IF(Q130&gt;=KPI!$E$7,"D","F"))))</f>
        <v>B</v>
      </c>
      <c r="S130" s="7">
        <f t="shared" ref="S130:S193" si="8">IF(P130="Placed",1,0)</f>
        <v>1</v>
      </c>
      <c r="T130" s="6">
        <f t="shared" ref="T130:T193" si="9">IFERROR(AVERAGE(I130:J130),0)</f>
        <v>76.3</v>
      </c>
      <c r="U130" s="7">
        <f>RANK(Q130,$Q$2:$Q$251,0)+COUNTIF($Q$2:Q130,Q130)-1</f>
        <v>93</v>
      </c>
      <c r="V130" s="3" t="str">
        <f t="shared" ref="V130:V193" si="10">UPPER(B130)</f>
        <v>STUDENT_129</v>
      </c>
      <c r="W130" s="3" t="str">
        <f t="shared" ref="W130:W193" si="11">IFERROR(MID(B130,FIND("_",B130)+1,LEN(B130)),B130)</f>
        <v>129</v>
      </c>
    </row>
    <row r="131" spans="1:23" x14ac:dyDescent="0.3">
      <c r="A131" s="3" t="s">
        <v>292</v>
      </c>
      <c r="B131" s="3" t="s">
        <v>293</v>
      </c>
      <c r="C131" s="3" t="s">
        <v>40</v>
      </c>
      <c r="D131" s="3" t="s">
        <v>26</v>
      </c>
      <c r="E131" s="3">
        <v>2</v>
      </c>
      <c r="F131" s="4">
        <v>77</v>
      </c>
      <c r="G131" s="4">
        <v>5.9</v>
      </c>
      <c r="H131" s="4">
        <v>67.5</v>
      </c>
      <c r="I131" s="4">
        <v>71.8</v>
      </c>
      <c r="J131" s="4">
        <v>69.099999999999994</v>
      </c>
      <c r="K131" s="3">
        <v>5</v>
      </c>
      <c r="L131" s="3">
        <v>0</v>
      </c>
      <c r="M131" s="3">
        <v>2</v>
      </c>
      <c r="N131" s="3" t="s">
        <v>27</v>
      </c>
      <c r="O131" s="5">
        <v>0</v>
      </c>
      <c r="P131" s="3" t="s">
        <v>32</v>
      </c>
      <c r="Q131" s="6">
        <v>69.59</v>
      </c>
      <c r="R131" s="7" t="str">
        <f>IF(Q131&gt;=KPI!$E$4,"A",IF(Q131&gt;=KPI!$E$5,"B",IF(Q131&gt;=KPI!$E$6,"C",IF(Q131&gt;=KPI!$E$7,"D","F"))))</f>
        <v>C</v>
      </c>
      <c r="S131" s="7">
        <f t="shared" si="8"/>
        <v>0</v>
      </c>
      <c r="T131" s="6">
        <f t="shared" si="9"/>
        <v>70.449999999999989</v>
      </c>
      <c r="U131" s="7">
        <f>RANK(Q131,$Q$2:$Q$251,0)+COUNTIF($Q$2:Q131,Q131)-1</f>
        <v>192</v>
      </c>
      <c r="V131" s="3" t="str">
        <f t="shared" si="10"/>
        <v>STUDENT_130</v>
      </c>
      <c r="W131" s="3" t="str">
        <f t="shared" si="11"/>
        <v>130</v>
      </c>
    </row>
    <row r="132" spans="1:23" x14ac:dyDescent="0.3">
      <c r="A132" s="3" t="s">
        <v>294</v>
      </c>
      <c r="B132" s="3" t="s">
        <v>295</v>
      </c>
      <c r="C132" s="3" t="s">
        <v>25</v>
      </c>
      <c r="D132" s="3" t="s">
        <v>26</v>
      </c>
      <c r="E132" s="3">
        <v>2</v>
      </c>
      <c r="F132" s="4">
        <v>90.7</v>
      </c>
      <c r="G132" s="4">
        <v>5.8</v>
      </c>
      <c r="H132" s="4">
        <v>90</v>
      </c>
      <c r="I132" s="4">
        <v>84.1</v>
      </c>
      <c r="J132" s="4">
        <v>85.1</v>
      </c>
      <c r="K132" s="3">
        <v>1</v>
      </c>
      <c r="L132" s="3">
        <v>3</v>
      </c>
      <c r="M132" s="3">
        <v>1</v>
      </c>
      <c r="N132" s="3" t="s">
        <v>37</v>
      </c>
      <c r="O132" s="5">
        <v>18631</v>
      </c>
      <c r="P132" s="3" t="s">
        <v>28</v>
      </c>
      <c r="Q132" s="6">
        <v>85.78</v>
      </c>
      <c r="R132" s="7" t="str">
        <f>IF(Q132&gt;=KPI!$E$4,"A",IF(Q132&gt;=KPI!$E$5,"B",IF(Q132&gt;=KPI!$E$6,"C",IF(Q132&gt;=KPI!$E$7,"D","F"))))</f>
        <v>A</v>
      </c>
      <c r="S132" s="7">
        <f t="shared" si="8"/>
        <v>1</v>
      </c>
      <c r="T132" s="6">
        <f t="shared" si="9"/>
        <v>84.6</v>
      </c>
      <c r="U132" s="7">
        <f>RANK(Q132,$Q$2:$Q$251,0)+COUNTIF($Q$2:Q132,Q132)-1</f>
        <v>28</v>
      </c>
      <c r="V132" s="3" t="str">
        <f t="shared" si="10"/>
        <v>STUDENT_131</v>
      </c>
      <c r="W132" s="3" t="str">
        <f t="shared" si="11"/>
        <v>131</v>
      </c>
    </row>
    <row r="133" spans="1:23" x14ac:dyDescent="0.3">
      <c r="A133" s="3" t="s">
        <v>296</v>
      </c>
      <c r="B133" s="3" t="s">
        <v>297</v>
      </c>
      <c r="C133" s="3" t="s">
        <v>43</v>
      </c>
      <c r="D133" s="3" t="s">
        <v>36</v>
      </c>
      <c r="E133" s="3">
        <v>2</v>
      </c>
      <c r="F133" s="4">
        <v>90.8</v>
      </c>
      <c r="G133" s="4">
        <v>6.8</v>
      </c>
      <c r="H133" s="4">
        <v>73.900000000000006</v>
      </c>
      <c r="I133" s="4">
        <v>60.8</v>
      </c>
      <c r="J133" s="4">
        <v>78.099999999999994</v>
      </c>
      <c r="K133" s="3">
        <v>2</v>
      </c>
      <c r="L133" s="3">
        <v>4</v>
      </c>
      <c r="M133" s="3">
        <v>1</v>
      </c>
      <c r="N133" s="3" t="s">
        <v>37</v>
      </c>
      <c r="O133" s="5">
        <v>14442</v>
      </c>
      <c r="P133" s="3" t="s">
        <v>28</v>
      </c>
      <c r="Q133" s="6">
        <v>72.069999999999993</v>
      </c>
      <c r="R133" s="7" t="str">
        <f>IF(Q133&gt;=KPI!$E$4,"A",IF(Q133&gt;=KPI!$E$5,"B",IF(Q133&gt;=KPI!$E$6,"C",IF(Q133&gt;=KPI!$E$7,"D","F"))))</f>
        <v>C</v>
      </c>
      <c r="S133" s="7">
        <f t="shared" si="8"/>
        <v>1</v>
      </c>
      <c r="T133" s="6">
        <f t="shared" si="9"/>
        <v>69.449999999999989</v>
      </c>
      <c r="U133" s="7">
        <f>RANK(Q133,$Q$2:$Q$251,0)+COUNTIF($Q$2:Q133,Q133)-1</f>
        <v>161</v>
      </c>
      <c r="V133" s="3" t="str">
        <f t="shared" si="10"/>
        <v>STUDENT_132</v>
      </c>
      <c r="W133" s="3" t="str">
        <f t="shared" si="11"/>
        <v>132</v>
      </c>
    </row>
    <row r="134" spans="1:23" x14ac:dyDescent="0.3">
      <c r="A134" s="3" t="s">
        <v>298</v>
      </c>
      <c r="B134" s="3" t="s">
        <v>299</v>
      </c>
      <c r="C134" s="3" t="s">
        <v>43</v>
      </c>
      <c r="D134" s="3" t="s">
        <v>36</v>
      </c>
      <c r="E134" s="3">
        <v>6</v>
      </c>
      <c r="F134" s="4">
        <v>94.5</v>
      </c>
      <c r="G134" s="4">
        <v>3.3</v>
      </c>
      <c r="H134" s="4">
        <v>83.1</v>
      </c>
      <c r="I134" s="4">
        <v>73.5</v>
      </c>
      <c r="J134" s="4">
        <v>89.1</v>
      </c>
      <c r="K134" s="3">
        <v>2</v>
      </c>
      <c r="L134" s="3">
        <v>2</v>
      </c>
      <c r="M134" s="3">
        <v>3</v>
      </c>
      <c r="N134" s="3" t="s">
        <v>27</v>
      </c>
      <c r="O134" s="5">
        <v>0</v>
      </c>
      <c r="P134" s="3" t="s">
        <v>32</v>
      </c>
      <c r="Q134" s="6">
        <v>83.22</v>
      </c>
      <c r="R134" s="7" t="str">
        <f>IF(Q134&gt;=KPI!$E$4,"A",IF(Q134&gt;=KPI!$E$5,"B",IF(Q134&gt;=KPI!$E$6,"C",IF(Q134&gt;=KPI!$E$7,"D","F"))))</f>
        <v>B</v>
      </c>
      <c r="S134" s="7">
        <f t="shared" si="8"/>
        <v>0</v>
      </c>
      <c r="T134" s="6">
        <f t="shared" si="9"/>
        <v>81.3</v>
      </c>
      <c r="U134" s="7">
        <f>RANK(Q134,$Q$2:$Q$251,0)+COUNTIF($Q$2:Q134,Q134)-1</f>
        <v>54</v>
      </c>
      <c r="V134" s="3" t="str">
        <f t="shared" si="10"/>
        <v>STUDENT_133</v>
      </c>
      <c r="W134" s="3" t="str">
        <f t="shared" si="11"/>
        <v>133</v>
      </c>
    </row>
    <row r="135" spans="1:23" x14ac:dyDescent="0.3">
      <c r="A135" s="3" t="s">
        <v>300</v>
      </c>
      <c r="B135" s="3" t="s">
        <v>301</v>
      </c>
      <c r="C135" s="3" t="s">
        <v>25</v>
      </c>
      <c r="D135" s="3" t="s">
        <v>36</v>
      </c>
      <c r="E135" s="3">
        <v>7</v>
      </c>
      <c r="F135" s="4">
        <v>91.1</v>
      </c>
      <c r="G135" s="4">
        <v>5</v>
      </c>
      <c r="H135" s="4">
        <v>64.099999999999994</v>
      </c>
      <c r="I135" s="4">
        <v>56.3</v>
      </c>
      <c r="J135" s="4">
        <v>70</v>
      </c>
      <c r="K135" s="3">
        <v>3</v>
      </c>
      <c r="L135" s="3">
        <v>4</v>
      </c>
      <c r="M135" s="3">
        <v>0</v>
      </c>
      <c r="N135" s="3" t="s">
        <v>37</v>
      </c>
      <c r="O135" s="5">
        <v>9041</v>
      </c>
      <c r="P135" s="3" t="s">
        <v>28</v>
      </c>
      <c r="Q135" s="6">
        <v>64.709999999999994</v>
      </c>
      <c r="R135" s="7" t="str">
        <f>IF(Q135&gt;=KPI!$E$4,"A",IF(Q135&gt;=KPI!$E$5,"B",IF(Q135&gt;=KPI!$E$6,"C",IF(Q135&gt;=KPI!$E$7,"D","F"))))</f>
        <v>D</v>
      </c>
      <c r="S135" s="7">
        <f t="shared" si="8"/>
        <v>1</v>
      </c>
      <c r="T135" s="6">
        <f t="shared" si="9"/>
        <v>63.15</v>
      </c>
      <c r="U135" s="7">
        <f>RANK(Q135,$Q$2:$Q$251,0)+COUNTIF($Q$2:Q135,Q135)-1</f>
        <v>214</v>
      </c>
      <c r="V135" s="3" t="str">
        <f t="shared" si="10"/>
        <v>STUDENT_134</v>
      </c>
      <c r="W135" s="3" t="str">
        <f t="shared" si="11"/>
        <v>134</v>
      </c>
    </row>
    <row r="136" spans="1:23" x14ac:dyDescent="0.3">
      <c r="A136" s="3" t="s">
        <v>302</v>
      </c>
      <c r="B136" s="3" t="s">
        <v>303</v>
      </c>
      <c r="C136" s="3" t="s">
        <v>31</v>
      </c>
      <c r="D136" s="3" t="s">
        <v>36</v>
      </c>
      <c r="E136" s="3">
        <v>3</v>
      </c>
      <c r="F136" s="4">
        <v>67.3</v>
      </c>
      <c r="G136" s="4">
        <v>1.7</v>
      </c>
      <c r="H136" s="4"/>
      <c r="I136" s="4">
        <v>58.1</v>
      </c>
      <c r="J136" s="4">
        <v>57.4</v>
      </c>
      <c r="K136" s="3">
        <v>1</v>
      </c>
      <c r="L136" s="3">
        <v>1</v>
      </c>
      <c r="M136" s="3">
        <v>1</v>
      </c>
      <c r="N136" s="3" t="s">
        <v>27</v>
      </c>
      <c r="O136" s="5">
        <v>0</v>
      </c>
      <c r="P136" s="3" t="s">
        <v>32</v>
      </c>
      <c r="Q136" s="6">
        <v>61.25</v>
      </c>
      <c r="R136" s="7" t="str">
        <f>IF(Q136&gt;=KPI!$E$4,"A",IF(Q136&gt;=KPI!$E$5,"B",IF(Q136&gt;=KPI!$E$6,"C",IF(Q136&gt;=KPI!$E$7,"D","F"))))</f>
        <v>D</v>
      </c>
      <c r="S136" s="7">
        <f t="shared" si="8"/>
        <v>0</v>
      </c>
      <c r="T136" s="6">
        <f t="shared" si="9"/>
        <v>57.75</v>
      </c>
      <c r="U136" s="7">
        <f>RANK(Q136,$Q$2:$Q$251,0)+COUNTIF($Q$2:Q136,Q136)-1</f>
        <v>236</v>
      </c>
      <c r="V136" s="3" t="str">
        <f t="shared" si="10"/>
        <v>STUDENT_135</v>
      </c>
      <c r="W136" s="3" t="str">
        <f t="shared" si="11"/>
        <v>135</v>
      </c>
    </row>
    <row r="137" spans="1:23" x14ac:dyDescent="0.3">
      <c r="A137" s="3" t="s">
        <v>304</v>
      </c>
      <c r="B137" s="3" t="s">
        <v>305</v>
      </c>
      <c r="C137" s="3" t="s">
        <v>25</v>
      </c>
      <c r="D137" s="3" t="s">
        <v>36</v>
      </c>
      <c r="E137" s="3">
        <v>3</v>
      </c>
      <c r="F137" s="4">
        <v>84.5</v>
      </c>
      <c r="G137" s="4">
        <v>2.5</v>
      </c>
      <c r="H137" s="4">
        <v>100</v>
      </c>
      <c r="I137" s="4">
        <v>71.599999999999994</v>
      </c>
      <c r="J137" s="4">
        <v>78.7</v>
      </c>
      <c r="K137" s="3">
        <v>0</v>
      </c>
      <c r="L137" s="3">
        <v>2</v>
      </c>
      <c r="M137" s="3">
        <v>0</v>
      </c>
      <c r="N137" s="3" t="s">
        <v>27</v>
      </c>
      <c r="O137" s="5">
        <v>0</v>
      </c>
      <c r="P137" s="3" t="s">
        <v>32</v>
      </c>
      <c r="Q137" s="6">
        <v>80.83</v>
      </c>
      <c r="R137" s="7" t="str">
        <f>IF(Q137&gt;=KPI!$E$4,"A",IF(Q137&gt;=KPI!$E$5,"B",IF(Q137&gt;=KPI!$E$6,"C",IF(Q137&gt;=KPI!$E$7,"D","F"))))</f>
        <v>B</v>
      </c>
      <c r="S137" s="7">
        <f t="shared" si="8"/>
        <v>0</v>
      </c>
      <c r="T137" s="6">
        <f t="shared" si="9"/>
        <v>75.150000000000006</v>
      </c>
      <c r="U137" s="7">
        <f>RANK(Q137,$Q$2:$Q$251,0)+COUNTIF($Q$2:Q137,Q137)-1</f>
        <v>73</v>
      </c>
      <c r="V137" s="3" t="str">
        <f t="shared" si="10"/>
        <v>STUDENT_136</v>
      </c>
      <c r="W137" s="3" t="str">
        <f t="shared" si="11"/>
        <v>136</v>
      </c>
    </row>
    <row r="138" spans="1:23" x14ac:dyDescent="0.3">
      <c r="A138" s="3" t="s">
        <v>306</v>
      </c>
      <c r="B138" s="3" t="s">
        <v>307</v>
      </c>
      <c r="C138" s="3" t="s">
        <v>40</v>
      </c>
      <c r="D138" s="3" t="s">
        <v>26</v>
      </c>
      <c r="E138" s="3">
        <v>7</v>
      </c>
      <c r="F138" s="4">
        <v>72.5</v>
      </c>
      <c r="G138" s="4">
        <v>6.4</v>
      </c>
      <c r="H138" s="4">
        <v>88.5</v>
      </c>
      <c r="I138" s="4">
        <v>44.6</v>
      </c>
      <c r="J138" s="4">
        <v>65.099999999999994</v>
      </c>
      <c r="K138" s="3">
        <v>0</v>
      </c>
      <c r="L138" s="3">
        <v>3</v>
      </c>
      <c r="M138" s="3">
        <v>2</v>
      </c>
      <c r="N138" s="3" t="s">
        <v>37</v>
      </c>
      <c r="O138" s="5">
        <v>5337</v>
      </c>
      <c r="P138" s="3" t="s">
        <v>32</v>
      </c>
      <c r="Q138" s="6">
        <v>63.63</v>
      </c>
      <c r="R138" s="7" t="str">
        <f>IF(Q138&gt;=KPI!$E$4,"A",IF(Q138&gt;=KPI!$E$5,"B",IF(Q138&gt;=KPI!$E$6,"C",IF(Q138&gt;=KPI!$E$7,"D","F"))))</f>
        <v>D</v>
      </c>
      <c r="S138" s="7">
        <f t="shared" si="8"/>
        <v>0</v>
      </c>
      <c r="T138" s="6">
        <f t="shared" si="9"/>
        <v>54.849999999999994</v>
      </c>
      <c r="U138" s="7">
        <f>RANK(Q138,$Q$2:$Q$251,0)+COUNTIF($Q$2:Q138,Q138)-1</f>
        <v>225</v>
      </c>
      <c r="V138" s="3" t="str">
        <f t="shared" si="10"/>
        <v>STUDENT_137</v>
      </c>
      <c r="W138" s="3" t="str">
        <f t="shared" si="11"/>
        <v>137</v>
      </c>
    </row>
    <row r="139" spans="1:23" x14ac:dyDescent="0.3">
      <c r="A139" s="3" t="s">
        <v>308</v>
      </c>
      <c r="B139" s="3" t="s">
        <v>309</v>
      </c>
      <c r="C139" s="3" t="s">
        <v>35</v>
      </c>
      <c r="D139" s="3" t="s">
        <v>26</v>
      </c>
      <c r="E139" s="3">
        <v>2</v>
      </c>
      <c r="F139" s="4">
        <v>77.400000000000006</v>
      </c>
      <c r="G139" s="4">
        <v>3.1</v>
      </c>
      <c r="H139" s="4">
        <v>80</v>
      </c>
      <c r="I139" s="4">
        <v>100</v>
      </c>
      <c r="J139" s="4">
        <v>90.9</v>
      </c>
      <c r="K139" s="3">
        <v>4</v>
      </c>
      <c r="L139" s="3">
        <v>2</v>
      </c>
      <c r="M139" s="3">
        <v>0</v>
      </c>
      <c r="N139" s="3" t="s">
        <v>27</v>
      </c>
      <c r="O139" s="5">
        <v>0</v>
      </c>
      <c r="P139" s="3" t="s">
        <v>28</v>
      </c>
      <c r="Q139" s="6">
        <v>91.45</v>
      </c>
      <c r="R139" s="7" t="str">
        <f>IF(Q139&gt;=KPI!$E$4,"A",IF(Q139&gt;=KPI!$E$5,"B",IF(Q139&gt;=KPI!$E$6,"C",IF(Q139&gt;=KPI!$E$7,"D","F"))))</f>
        <v>A</v>
      </c>
      <c r="S139" s="7">
        <f t="shared" si="8"/>
        <v>1</v>
      </c>
      <c r="T139" s="6">
        <f t="shared" si="9"/>
        <v>95.45</v>
      </c>
      <c r="U139" s="7">
        <f>RANK(Q139,$Q$2:$Q$251,0)+COUNTIF($Q$2:Q139,Q139)-1</f>
        <v>4</v>
      </c>
      <c r="V139" s="3" t="str">
        <f t="shared" si="10"/>
        <v>STUDENT_138</v>
      </c>
      <c r="W139" s="3" t="str">
        <f t="shared" si="11"/>
        <v>138</v>
      </c>
    </row>
    <row r="140" spans="1:23" x14ac:dyDescent="0.3">
      <c r="A140" s="3" t="s">
        <v>310</v>
      </c>
      <c r="B140" s="3" t="s">
        <v>311</v>
      </c>
      <c r="C140" s="3" t="s">
        <v>25</v>
      </c>
      <c r="D140" s="3" t="s">
        <v>36</v>
      </c>
      <c r="E140" s="3">
        <v>4</v>
      </c>
      <c r="F140" s="4">
        <v>83.5</v>
      </c>
      <c r="G140" s="4">
        <v>3.3</v>
      </c>
      <c r="H140" s="4">
        <v>70.2</v>
      </c>
      <c r="I140" s="4">
        <v>55.3</v>
      </c>
      <c r="J140" s="4">
        <v>60.8</v>
      </c>
      <c r="K140" s="3">
        <v>4</v>
      </c>
      <c r="L140" s="3">
        <v>4</v>
      </c>
      <c r="M140" s="3">
        <v>1</v>
      </c>
      <c r="N140" s="3" t="s">
        <v>27</v>
      </c>
      <c r="O140" s="5">
        <v>0</v>
      </c>
      <c r="P140" s="3" t="s">
        <v>32</v>
      </c>
      <c r="Q140" s="6">
        <v>61.03</v>
      </c>
      <c r="R140" s="7" t="str">
        <f>IF(Q140&gt;=KPI!$E$4,"A",IF(Q140&gt;=KPI!$E$5,"B",IF(Q140&gt;=KPI!$E$6,"C",IF(Q140&gt;=KPI!$E$7,"D","F"))))</f>
        <v>D</v>
      </c>
      <c r="S140" s="7">
        <f t="shared" si="8"/>
        <v>0</v>
      </c>
      <c r="T140" s="6">
        <f t="shared" si="9"/>
        <v>58.05</v>
      </c>
      <c r="U140" s="7">
        <f>RANK(Q140,$Q$2:$Q$251,0)+COUNTIF($Q$2:Q140,Q140)-1</f>
        <v>238</v>
      </c>
      <c r="V140" s="3" t="str">
        <f t="shared" si="10"/>
        <v>STUDENT_139</v>
      </c>
      <c r="W140" s="3" t="str">
        <f t="shared" si="11"/>
        <v>139</v>
      </c>
    </row>
    <row r="141" spans="1:23" x14ac:dyDescent="0.3">
      <c r="A141" s="3" t="s">
        <v>312</v>
      </c>
      <c r="B141" s="3" t="s">
        <v>313</v>
      </c>
      <c r="C141" s="3" t="s">
        <v>31</v>
      </c>
      <c r="D141" s="3" t="s">
        <v>36</v>
      </c>
      <c r="E141" s="3">
        <v>1</v>
      </c>
      <c r="F141" s="4">
        <v>89.5</v>
      </c>
      <c r="G141" s="4"/>
      <c r="H141" s="4">
        <v>76.900000000000006</v>
      </c>
      <c r="I141" s="4">
        <v>71.400000000000006</v>
      </c>
      <c r="J141" s="4">
        <v>75.3</v>
      </c>
      <c r="K141" s="3">
        <v>0</v>
      </c>
      <c r="L141" s="3">
        <v>0</v>
      </c>
      <c r="M141" s="3">
        <v>2</v>
      </c>
      <c r="N141" s="3" t="s">
        <v>37</v>
      </c>
      <c r="O141" s="5">
        <v>5551</v>
      </c>
      <c r="P141" s="3" t="s">
        <v>32</v>
      </c>
      <c r="Q141" s="6">
        <v>74.45</v>
      </c>
      <c r="R141" s="7" t="str">
        <f>IF(Q141&gt;=KPI!$E$4,"A",IF(Q141&gt;=KPI!$E$5,"B",IF(Q141&gt;=KPI!$E$6,"C",IF(Q141&gt;=KPI!$E$7,"D","F"))))</f>
        <v>C</v>
      </c>
      <c r="S141" s="7">
        <f t="shared" si="8"/>
        <v>0</v>
      </c>
      <c r="T141" s="6">
        <f t="shared" si="9"/>
        <v>73.349999999999994</v>
      </c>
      <c r="U141" s="7">
        <f>RANK(Q141,$Q$2:$Q$251,0)+COUNTIF($Q$2:Q141,Q141)-1</f>
        <v>140</v>
      </c>
      <c r="V141" s="3" t="str">
        <f t="shared" si="10"/>
        <v>STUDENT_140</v>
      </c>
      <c r="W141" s="3" t="str">
        <f t="shared" si="11"/>
        <v>140</v>
      </c>
    </row>
    <row r="142" spans="1:23" x14ac:dyDescent="0.3">
      <c r="A142" s="3" t="s">
        <v>314</v>
      </c>
      <c r="B142" s="3" t="s">
        <v>315</v>
      </c>
      <c r="C142" s="3" t="s">
        <v>31</v>
      </c>
      <c r="D142" s="3" t="s">
        <v>36</v>
      </c>
      <c r="E142" s="3">
        <v>6</v>
      </c>
      <c r="F142" s="4">
        <v>74</v>
      </c>
      <c r="G142" s="4">
        <v>6.1</v>
      </c>
      <c r="H142" s="4">
        <v>78.599999999999994</v>
      </c>
      <c r="I142" s="4">
        <v>88.4</v>
      </c>
      <c r="J142" s="4">
        <v>94.6</v>
      </c>
      <c r="K142" s="3">
        <v>2</v>
      </c>
      <c r="L142" s="3">
        <v>2</v>
      </c>
      <c r="M142" s="3">
        <v>0</v>
      </c>
      <c r="N142" s="3" t="s">
        <v>27</v>
      </c>
      <c r="O142" s="5">
        <v>0</v>
      </c>
      <c r="P142" s="3" t="s">
        <v>28</v>
      </c>
      <c r="Q142" s="6">
        <v>89.54</v>
      </c>
      <c r="R142" s="7" t="str">
        <f>IF(Q142&gt;=KPI!$E$4,"A",IF(Q142&gt;=KPI!$E$5,"B",IF(Q142&gt;=KPI!$E$6,"C",IF(Q142&gt;=KPI!$E$7,"D","F"))))</f>
        <v>A</v>
      </c>
      <c r="S142" s="7">
        <f t="shared" si="8"/>
        <v>1</v>
      </c>
      <c r="T142" s="6">
        <f t="shared" si="9"/>
        <v>91.5</v>
      </c>
      <c r="U142" s="7">
        <f>RANK(Q142,$Q$2:$Q$251,0)+COUNTIF($Q$2:Q142,Q142)-1</f>
        <v>8</v>
      </c>
      <c r="V142" s="3" t="str">
        <f t="shared" si="10"/>
        <v>STUDENT_141</v>
      </c>
      <c r="W142" s="3" t="str">
        <f t="shared" si="11"/>
        <v>141</v>
      </c>
    </row>
    <row r="143" spans="1:23" x14ac:dyDescent="0.3">
      <c r="A143" s="3" t="s">
        <v>316</v>
      </c>
      <c r="B143" s="3" t="s">
        <v>317</v>
      </c>
      <c r="C143" s="3" t="s">
        <v>43</v>
      </c>
      <c r="D143" s="3" t="s">
        <v>26</v>
      </c>
      <c r="E143" s="3">
        <v>1</v>
      </c>
      <c r="F143" s="4">
        <v>61.1</v>
      </c>
      <c r="G143" s="4">
        <v>2.9</v>
      </c>
      <c r="H143" s="4">
        <v>81.8</v>
      </c>
      <c r="I143" s="4">
        <v>59.9</v>
      </c>
      <c r="J143" s="4">
        <v>60</v>
      </c>
      <c r="K143" s="3">
        <v>5</v>
      </c>
      <c r="L143" s="3">
        <v>3</v>
      </c>
      <c r="M143" s="3">
        <v>0</v>
      </c>
      <c r="N143" s="3" t="s">
        <v>27</v>
      </c>
      <c r="O143" s="5">
        <v>0</v>
      </c>
      <c r="P143" s="3" t="s">
        <v>32</v>
      </c>
      <c r="Q143" s="6">
        <v>64.33</v>
      </c>
      <c r="R143" s="7" t="str">
        <f>IF(Q143&gt;=KPI!$E$4,"A",IF(Q143&gt;=KPI!$E$5,"B",IF(Q143&gt;=KPI!$E$6,"C",IF(Q143&gt;=KPI!$E$7,"D","F"))))</f>
        <v>D</v>
      </c>
      <c r="S143" s="7">
        <f t="shared" si="8"/>
        <v>0</v>
      </c>
      <c r="T143" s="6">
        <f t="shared" si="9"/>
        <v>59.95</v>
      </c>
      <c r="U143" s="7">
        <f>RANK(Q143,$Q$2:$Q$251,0)+COUNTIF($Q$2:Q143,Q143)-1</f>
        <v>218</v>
      </c>
      <c r="V143" s="3" t="str">
        <f t="shared" si="10"/>
        <v>STUDENT_142</v>
      </c>
      <c r="W143" s="3" t="str">
        <f t="shared" si="11"/>
        <v>142</v>
      </c>
    </row>
    <row r="144" spans="1:23" x14ac:dyDescent="0.3">
      <c r="A144" s="3" t="s">
        <v>318</v>
      </c>
      <c r="B144" s="3" t="s">
        <v>319</v>
      </c>
      <c r="C144" s="3" t="s">
        <v>25</v>
      </c>
      <c r="D144" s="3" t="s">
        <v>26</v>
      </c>
      <c r="E144" s="3">
        <v>8</v>
      </c>
      <c r="F144" s="4">
        <v>83.6</v>
      </c>
      <c r="G144" s="4">
        <v>1</v>
      </c>
      <c r="H144" s="4">
        <v>62</v>
      </c>
      <c r="I144" s="4">
        <v>39.799999999999997</v>
      </c>
      <c r="J144" s="4">
        <v>42</v>
      </c>
      <c r="K144" s="3">
        <v>2</v>
      </c>
      <c r="L144" s="3">
        <v>1</v>
      </c>
      <c r="M144" s="3">
        <v>1</v>
      </c>
      <c r="N144" s="3" t="s">
        <v>27</v>
      </c>
      <c r="O144" s="5">
        <v>0</v>
      </c>
      <c r="P144" s="3" t="s">
        <v>32</v>
      </c>
      <c r="Q144" s="6">
        <v>45.34</v>
      </c>
      <c r="R144" s="7" t="str">
        <f>IF(Q144&gt;=KPI!$E$4,"A",IF(Q144&gt;=KPI!$E$5,"B",IF(Q144&gt;=KPI!$E$6,"C",IF(Q144&gt;=KPI!$E$7,"D","F"))))</f>
        <v>F</v>
      </c>
      <c r="S144" s="7">
        <f t="shared" si="8"/>
        <v>0</v>
      </c>
      <c r="T144" s="6">
        <f t="shared" si="9"/>
        <v>40.9</v>
      </c>
      <c r="U144" s="7">
        <f>RANK(Q144,$Q$2:$Q$251,0)+COUNTIF($Q$2:Q144,Q144)-1</f>
        <v>250</v>
      </c>
      <c r="V144" s="3" t="str">
        <f t="shared" si="10"/>
        <v>STUDENT_143</v>
      </c>
      <c r="W144" s="3" t="str">
        <f t="shared" si="11"/>
        <v>143</v>
      </c>
    </row>
    <row r="145" spans="1:23" x14ac:dyDescent="0.3">
      <c r="A145" s="3" t="s">
        <v>320</v>
      </c>
      <c r="B145" s="3" t="s">
        <v>321</v>
      </c>
      <c r="C145" s="3" t="s">
        <v>25</v>
      </c>
      <c r="D145" s="3" t="s">
        <v>36</v>
      </c>
      <c r="E145" s="3">
        <v>7</v>
      </c>
      <c r="F145" s="4">
        <v>100</v>
      </c>
      <c r="G145" s="4">
        <v>3.2</v>
      </c>
      <c r="H145" s="4">
        <v>84.7</v>
      </c>
      <c r="I145" s="4">
        <v>65.8</v>
      </c>
      <c r="J145" s="4">
        <v>77.8</v>
      </c>
      <c r="K145" s="3">
        <v>4</v>
      </c>
      <c r="L145" s="3">
        <v>0</v>
      </c>
      <c r="M145" s="3">
        <v>0</v>
      </c>
      <c r="N145" s="3" t="s">
        <v>37</v>
      </c>
      <c r="O145" s="5">
        <v>5526</v>
      </c>
      <c r="P145" s="3" t="s">
        <v>28</v>
      </c>
      <c r="Q145" s="6">
        <v>75.58</v>
      </c>
      <c r="R145" s="7" t="str">
        <f>IF(Q145&gt;=KPI!$E$4,"A",IF(Q145&gt;=KPI!$E$5,"B",IF(Q145&gt;=KPI!$E$6,"C",IF(Q145&gt;=KPI!$E$7,"D","F"))))</f>
        <v>B</v>
      </c>
      <c r="S145" s="7">
        <f t="shared" si="8"/>
        <v>1</v>
      </c>
      <c r="T145" s="6">
        <f t="shared" si="9"/>
        <v>71.8</v>
      </c>
      <c r="U145" s="7">
        <f>RANK(Q145,$Q$2:$Q$251,0)+COUNTIF($Q$2:Q145,Q145)-1</f>
        <v>125</v>
      </c>
      <c r="V145" s="3" t="str">
        <f t="shared" si="10"/>
        <v>STUDENT_144</v>
      </c>
      <c r="W145" s="3" t="str">
        <f t="shared" si="11"/>
        <v>144</v>
      </c>
    </row>
    <row r="146" spans="1:23" x14ac:dyDescent="0.3">
      <c r="A146" s="3" t="s">
        <v>322</v>
      </c>
      <c r="B146" s="3" t="s">
        <v>323</v>
      </c>
      <c r="C146" s="3" t="s">
        <v>25</v>
      </c>
      <c r="D146" s="3" t="s">
        <v>26</v>
      </c>
      <c r="E146" s="3">
        <v>4</v>
      </c>
      <c r="F146" s="4"/>
      <c r="G146" s="4">
        <v>7</v>
      </c>
      <c r="H146" s="4">
        <v>61.8</v>
      </c>
      <c r="I146" s="4">
        <v>59.8</v>
      </c>
      <c r="J146" s="4">
        <v>69.900000000000006</v>
      </c>
      <c r="K146" s="3">
        <v>3</v>
      </c>
      <c r="L146" s="3">
        <v>1</v>
      </c>
      <c r="M146" s="3">
        <v>0</v>
      </c>
      <c r="N146" s="3" t="s">
        <v>27</v>
      </c>
      <c r="O146" s="5">
        <v>0</v>
      </c>
      <c r="P146" s="3" t="s">
        <v>28</v>
      </c>
      <c r="Q146" s="6">
        <v>65.25</v>
      </c>
      <c r="R146" s="7" t="str">
        <f>IF(Q146&gt;=KPI!$E$4,"A",IF(Q146&gt;=KPI!$E$5,"B",IF(Q146&gt;=KPI!$E$6,"C",IF(Q146&gt;=KPI!$E$7,"D","F"))))</f>
        <v>C</v>
      </c>
      <c r="S146" s="7">
        <f t="shared" si="8"/>
        <v>1</v>
      </c>
      <c r="T146" s="6">
        <f t="shared" si="9"/>
        <v>64.849999999999994</v>
      </c>
      <c r="U146" s="7">
        <f>RANK(Q146,$Q$2:$Q$251,0)+COUNTIF($Q$2:Q146,Q146)-1</f>
        <v>211</v>
      </c>
      <c r="V146" s="3" t="str">
        <f t="shared" si="10"/>
        <v>STUDENT_145</v>
      </c>
      <c r="W146" s="3" t="str">
        <f t="shared" si="11"/>
        <v>145</v>
      </c>
    </row>
    <row r="147" spans="1:23" x14ac:dyDescent="0.3">
      <c r="A147" s="3" t="s">
        <v>324</v>
      </c>
      <c r="B147" s="3" t="s">
        <v>325</v>
      </c>
      <c r="C147" s="3" t="s">
        <v>43</v>
      </c>
      <c r="D147" s="3" t="s">
        <v>36</v>
      </c>
      <c r="E147" s="3">
        <v>6</v>
      </c>
      <c r="F147" s="4">
        <v>82.4</v>
      </c>
      <c r="G147" s="4">
        <v>5.4</v>
      </c>
      <c r="H147" s="4">
        <v>97.2</v>
      </c>
      <c r="I147" s="4">
        <v>40.1</v>
      </c>
      <c r="J147" s="4">
        <v>73.2</v>
      </c>
      <c r="K147" s="3">
        <v>0</v>
      </c>
      <c r="L147" s="3">
        <v>2</v>
      </c>
      <c r="M147" s="3">
        <v>0</v>
      </c>
      <c r="N147" s="3" t="s">
        <v>27</v>
      </c>
      <c r="O147" s="5">
        <v>0</v>
      </c>
      <c r="P147" s="3" t="s">
        <v>32</v>
      </c>
      <c r="Q147" s="6">
        <v>68.069999999999993</v>
      </c>
      <c r="R147" s="7" t="str">
        <f>IF(Q147&gt;=KPI!$E$4,"A",IF(Q147&gt;=KPI!$E$5,"B",IF(Q147&gt;=KPI!$E$6,"C",IF(Q147&gt;=KPI!$E$7,"D","F"))))</f>
        <v>C</v>
      </c>
      <c r="S147" s="7">
        <f t="shared" si="8"/>
        <v>0</v>
      </c>
      <c r="T147" s="6">
        <f t="shared" si="9"/>
        <v>56.650000000000006</v>
      </c>
      <c r="U147" s="7">
        <f>RANK(Q147,$Q$2:$Q$251,0)+COUNTIF($Q$2:Q147,Q147)-1</f>
        <v>201</v>
      </c>
      <c r="V147" s="3" t="str">
        <f t="shared" si="10"/>
        <v>STUDENT_146</v>
      </c>
      <c r="W147" s="3" t="str">
        <f t="shared" si="11"/>
        <v>146</v>
      </c>
    </row>
    <row r="148" spans="1:23" x14ac:dyDescent="0.3">
      <c r="A148" s="3" t="s">
        <v>326</v>
      </c>
      <c r="B148" s="3" t="s">
        <v>327</v>
      </c>
      <c r="C148" s="3" t="s">
        <v>40</v>
      </c>
      <c r="D148" s="3" t="s">
        <v>36</v>
      </c>
      <c r="E148" s="3">
        <v>7</v>
      </c>
      <c r="F148" s="4">
        <v>98</v>
      </c>
      <c r="G148" s="4">
        <v>7.2</v>
      </c>
      <c r="H148" s="4">
        <v>66</v>
      </c>
      <c r="I148" s="4">
        <v>76</v>
      </c>
      <c r="J148" s="4">
        <v>86.9</v>
      </c>
      <c r="K148" s="3">
        <v>4</v>
      </c>
      <c r="L148" s="3">
        <v>4</v>
      </c>
      <c r="M148" s="3">
        <v>0</v>
      </c>
      <c r="N148" s="3" t="s">
        <v>37</v>
      </c>
      <c r="O148" s="5">
        <v>13765</v>
      </c>
      <c r="P148" s="3" t="s">
        <v>28</v>
      </c>
      <c r="Q148" s="6">
        <v>79.45</v>
      </c>
      <c r="R148" s="7" t="str">
        <f>IF(Q148&gt;=KPI!$E$4,"A",IF(Q148&gt;=KPI!$E$5,"B",IF(Q148&gt;=KPI!$E$6,"C",IF(Q148&gt;=KPI!$E$7,"D","F"))))</f>
        <v>B</v>
      </c>
      <c r="S148" s="7">
        <f t="shared" si="8"/>
        <v>1</v>
      </c>
      <c r="T148" s="6">
        <f t="shared" si="9"/>
        <v>81.45</v>
      </c>
      <c r="U148" s="7">
        <f>RANK(Q148,$Q$2:$Q$251,0)+COUNTIF($Q$2:Q148,Q148)-1</f>
        <v>88</v>
      </c>
      <c r="V148" s="3" t="str">
        <f t="shared" si="10"/>
        <v>STUDENT_147</v>
      </c>
      <c r="W148" s="3" t="str">
        <f t="shared" si="11"/>
        <v>147</v>
      </c>
    </row>
    <row r="149" spans="1:23" x14ac:dyDescent="0.3">
      <c r="A149" s="3" t="s">
        <v>328</v>
      </c>
      <c r="B149" s="3" t="s">
        <v>329</v>
      </c>
      <c r="C149" s="3" t="s">
        <v>40</v>
      </c>
      <c r="D149" s="3" t="s">
        <v>26</v>
      </c>
      <c r="E149" s="3">
        <v>2</v>
      </c>
      <c r="F149" s="4">
        <v>87.3</v>
      </c>
      <c r="G149" s="4">
        <v>2.8</v>
      </c>
      <c r="H149" s="4">
        <v>79.900000000000006</v>
      </c>
      <c r="I149" s="4">
        <v>74.900000000000006</v>
      </c>
      <c r="J149" s="4">
        <v>76.5</v>
      </c>
      <c r="K149" s="3">
        <v>4</v>
      </c>
      <c r="L149" s="3">
        <v>4</v>
      </c>
      <c r="M149" s="3">
        <v>2</v>
      </c>
      <c r="N149" s="3" t="s">
        <v>37</v>
      </c>
      <c r="O149" s="5">
        <v>14878</v>
      </c>
      <c r="P149" s="3" t="s">
        <v>32</v>
      </c>
      <c r="Q149" s="6">
        <v>76.7</v>
      </c>
      <c r="R149" s="7" t="str">
        <f>IF(Q149&gt;=KPI!$E$4,"A",IF(Q149&gt;=KPI!$E$5,"B",IF(Q149&gt;=KPI!$E$6,"C",IF(Q149&gt;=KPI!$E$7,"D","F"))))</f>
        <v>B</v>
      </c>
      <c r="S149" s="7">
        <f t="shared" si="8"/>
        <v>0</v>
      </c>
      <c r="T149" s="6">
        <f t="shared" si="9"/>
        <v>75.7</v>
      </c>
      <c r="U149" s="7">
        <f>RANK(Q149,$Q$2:$Q$251,0)+COUNTIF($Q$2:Q149,Q149)-1</f>
        <v>112</v>
      </c>
      <c r="V149" s="3" t="str">
        <f t="shared" si="10"/>
        <v>STUDENT_148</v>
      </c>
      <c r="W149" s="3" t="str">
        <f t="shared" si="11"/>
        <v>148</v>
      </c>
    </row>
    <row r="150" spans="1:23" x14ac:dyDescent="0.3">
      <c r="A150" s="3" t="s">
        <v>330</v>
      </c>
      <c r="B150" s="3" t="s">
        <v>331</v>
      </c>
      <c r="C150" s="3" t="s">
        <v>43</v>
      </c>
      <c r="D150" s="3" t="s">
        <v>36</v>
      </c>
      <c r="E150" s="3">
        <v>3</v>
      </c>
      <c r="F150" s="4">
        <v>84</v>
      </c>
      <c r="G150" s="4">
        <v>1.8</v>
      </c>
      <c r="H150" s="4">
        <v>89.1</v>
      </c>
      <c r="I150" s="4">
        <v>88</v>
      </c>
      <c r="J150" s="4">
        <v>81.8</v>
      </c>
      <c r="K150" s="3">
        <v>5</v>
      </c>
      <c r="L150" s="3">
        <v>3</v>
      </c>
      <c r="M150" s="3">
        <v>0</v>
      </c>
      <c r="N150" s="3" t="s">
        <v>37</v>
      </c>
      <c r="O150" s="5">
        <v>8370</v>
      </c>
      <c r="P150" s="3" t="s">
        <v>28</v>
      </c>
      <c r="Q150" s="6">
        <v>85.12</v>
      </c>
      <c r="R150" s="7" t="str">
        <f>IF(Q150&gt;=KPI!$E$4,"A",IF(Q150&gt;=KPI!$E$5,"B",IF(Q150&gt;=KPI!$E$6,"C",IF(Q150&gt;=KPI!$E$7,"D","F"))))</f>
        <v>A</v>
      </c>
      <c r="S150" s="7">
        <f t="shared" si="8"/>
        <v>1</v>
      </c>
      <c r="T150" s="6">
        <f t="shared" si="9"/>
        <v>84.9</v>
      </c>
      <c r="U150" s="7">
        <f>RANK(Q150,$Q$2:$Q$251,0)+COUNTIF($Q$2:Q150,Q150)-1</f>
        <v>35</v>
      </c>
      <c r="V150" s="3" t="str">
        <f t="shared" si="10"/>
        <v>STUDENT_149</v>
      </c>
      <c r="W150" s="3" t="str">
        <f t="shared" si="11"/>
        <v>149</v>
      </c>
    </row>
    <row r="151" spans="1:23" x14ac:dyDescent="0.3">
      <c r="A151" s="3" t="s">
        <v>332</v>
      </c>
      <c r="B151" s="3" t="s">
        <v>333</v>
      </c>
      <c r="C151" s="3" t="s">
        <v>43</v>
      </c>
      <c r="D151" s="3" t="s">
        <v>36</v>
      </c>
      <c r="E151" s="3">
        <v>1</v>
      </c>
      <c r="F151" s="4">
        <v>86</v>
      </c>
      <c r="G151" s="4">
        <v>5.6</v>
      </c>
      <c r="H151" s="4">
        <v>72.7</v>
      </c>
      <c r="I151" s="4">
        <v>56.3</v>
      </c>
      <c r="J151" s="4">
        <v>66.8</v>
      </c>
      <c r="K151" s="3">
        <v>0</v>
      </c>
      <c r="L151" s="3">
        <v>4</v>
      </c>
      <c r="M151" s="3">
        <v>0</v>
      </c>
      <c r="N151" s="3" t="s">
        <v>27</v>
      </c>
      <c r="O151" s="5">
        <v>0</v>
      </c>
      <c r="P151" s="3" t="s">
        <v>32</v>
      </c>
      <c r="Q151" s="6">
        <v>64.83</v>
      </c>
      <c r="R151" s="7" t="str">
        <f>IF(Q151&gt;=KPI!$E$4,"A",IF(Q151&gt;=KPI!$E$5,"B",IF(Q151&gt;=KPI!$E$6,"C",IF(Q151&gt;=KPI!$E$7,"D","F"))))</f>
        <v>D</v>
      </c>
      <c r="S151" s="7">
        <f t="shared" si="8"/>
        <v>0</v>
      </c>
      <c r="T151" s="6">
        <f t="shared" si="9"/>
        <v>61.55</v>
      </c>
      <c r="U151" s="7">
        <f>RANK(Q151,$Q$2:$Q$251,0)+COUNTIF($Q$2:Q151,Q151)-1</f>
        <v>213</v>
      </c>
      <c r="V151" s="3" t="str">
        <f t="shared" si="10"/>
        <v>STUDENT_150</v>
      </c>
      <c r="W151" s="3" t="str">
        <f t="shared" si="11"/>
        <v>150</v>
      </c>
    </row>
    <row r="152" spans="1:23" x14ac:dyDescent="0.3">
      <c r="A152" s="3" t="s">
        <v>334</v>
      </c>
      <c r="B152" s="3" t="s">
        <v>335</v>
      </c>
      <c r="C152" s="3" t="s">
        <v>31</v>
      </c>
      <c r="D152" s="3" t="s">
        <v>26</v>
      </c>
      <c r="E152" s="3">
        <v>5</v>
      </c>
      <c r="F152" s="4">
        <v>84.3</v>
      </c>
      <c r="G152" s="4">
        <v>5.2</v>
      </c>
      <c r="H152" s="4">
        <v>80.400000000000006</v>
      </c>
      <c r="I152" s="4">
        <v>49.6</v>
      </c>
      <c r="J152" s="4">
        <v>70.3</v>
      </c>
      <c r="K152" s="3">
        <v>5</v>
      </c>
      <c r="L152" s="3">
        <v>0</v>
      </c>
      <c r="M152" s="3">
        <v>0</v>
      </c>
      <c r="N152" s="3" t="s">
        <v>37</v>
      </c>
      <c r="O152" s="5">
        <v>11610</v>
      </c>
      <c r="P152" s="3" t="s">
        <v>28</v>
      </c>
      <c r="Q152" s="6">
        <v>66.11</v>
      </c>
      <c r="R152" s="7" t="str">
        <f>IF(Q152&gt;=KPI!$E$4,"A",IF(Q152&gt;=KPI!$E$5,"B",IF(Q152&gt;=KPI!$E$6,"C",IF(Q152&gt;=KPI!$E$7,"D","F"))))</f>
        <v>C</v>
      </c>
      <c r="S152" s="7">
        <f t="shared" si="8"/>
        <v>1</v>
      </c>
      <c r="T152" s="6">
        <f t="shared" si="9"/>
        <v>59.95</v>
      </c>
      <c r="U152" s="7">
        <f>RANK(Q152,$Q$2:$Q$251,0)+COUNTIF($Q$2:Q152,Q152)-1</f>
        <v>208</v>
      </c>
      <c r="V152" s="3" t="str">
        <f t="shared" si="10"/>
        <v>STUDENT_151</v>
      </c>
      <c r="W152" s="3" t="str">
        <f t="shared" si="11"/>
        <v>151</v>
      </c>
    </row>
    <row r="153" spans="1:23" x14ac:dyDescent="0.3">
      <c r="A153" s="3" t="s">
        <v>336</v>
      </c>
      <c r="B153" s="3" t="s">
        <v>337</v>
      </c>
      <c r="C153" s="3" t="s">
        <v>43</v>
      </c>
      <c r="D153" s="3" t="s">
        <v>36</v>
      </c>
      <c r="E153" s="3">
        <v>5</v>
      </c>
      <c r="F153" s="4">
        <v>71.7</v>
      </c>
      <c r="G153" s="4">
        <v>5.3</v>
      </c>
      <c r="H153" s="4">
        <v>94.7</v>
      </c>
      <c r="I153" s="4">
        <v>66.3</v>
      </c>
      <c r="J153" s="4">
        <v>84.6</v>
      </c>
      <c r="K153" s="3">
        <v>0</v>
      </c>
      <c r="L153" s="3">
        <v>4</v>
      </c>
      <c r="M153" s="3">
        <v>0</v>
      </c>
      <c r="N153" s="3" t="s">
        <v>37</v>
      </c>
      <c r="O153" s="5">
        <v>14558</v>
      </c>
      <c r="P153" s="3" t="s">
        <v>28</v>
      </c>
      <c r="Q153" s="6">
        <v>81.13</v>
      </c>
      <c r="R153" s="7" t="str">
        <f>IF(Q153&gt;=KPI!$E$4,"A",IF(Q153&gt;=KPI!$E$5,"B",IF(Q153&gt;=KPI!$E$6,"C",IF(Q153&gt;=KPI!$E$7,"D","F"))))</f>
        <v>B</v>
      </c>
      <c r="S153" s="7">
        <f t="shared" si="8"/>
        <v>1</v>
      </c>
      <c r="T153" s="6">
        <f t="shared" si="9"/>
        <v>75.449999999999989</v>
      </c>
      <c r="U153" s="7">
        <f>RANK(Q153,$Q$2:$Q$251,0)+COUNTIF($Q$2:Q153,Q153)-1</f>
        <v>71</v>
      </c>
      <c r="V153" s="3" t="str">
        <f t="shared" si="10"/>
        <v>STUDENT_152</v>
      </c>
      <c r="W153" s="3" t="str">
        <f t="shared" si="11"/>
        <v>152</v>
      </c>
    </row>
    <row r="154" spans="1:23" x14ac:dyDescent="0.3">
      <c r="A154" s="3" t="s">
        <v>338</v>
      </c>
      <c r="B154" s="3" t="s">
        <v>339</v>
      </c>
      <c r="C154" s="3" t="s">
        <v>43</v>
      </c>
      <c r="D154" s="3" t="s">
        <v>36</v>
      </c>
      <c r="E154" s="3">
        <v>4</v>
      </c>
      <c r="F154" s="4">
        <v>69.900000000000006</v>
      </c>
      <c r="G154" s="4">
        <v>6.5</v>
      </c>
      <c r="H154" s="4">
        <v>83.3</v>
      </c>
      <c r="I154" s="4">
        <v>70.8</v>
      </c>
      <c r="J154" s="4">
        <v>72.900000000000006</v>
      </c>
      <c r="K154" s="3">
        <v>5</v>
      </c>
      <c r="L154" s="3">
        <v>3</v>
      </c>
      <c r="M154" s="3">
        <v>0</v>
      </c>
      <c r="N154" s="3" t="s">
        <v>27</v>
      </c>
      <c r="O154" s="5">
        <v>0</v>
      </c>
      <c r="P154" s="3" t="s">
        <v>32</v>
      </c>
      <c r="Q154" s="6">
        <v>74.349999999999994</v>
      </c>
      <c r="R154" s="7" t="str">
        <f>IF(Q154&gt;=KPI!$E$4,"A",IF(Q154&gt;=KPI!$E$5,"B",IF(Q154&gt;=KPI!$E$6,"C",IF(Q154&gt;=KPI!$E$7,"D","F"))))</f>
        <v>C</v>
      </c>
      <c r="S154" s="7">
        <f t="shared" si="8"/>
        <v>0</v>
      </c>
      <c r="T154" s="6">
        <f t="shared" si="9"/>
        <v>71.849999999999994</v>
      </c>
      <c r="U154" s="7">
        <f>RANK(Q154,$Q$2:$Q$251,0)+COUNTIF($Q$2:Q154,Q154)-1</f>
        <v>141</v>
      </c>
      <c r="V154" s="3" t="str">
        <f t="shared" si="10"/>
        <v>STUDENT_153</v>
      </c>
      <c r="W154" s="3" t="str">
        <f t="shared" si="11"/>
        <v>153</v>
      </c>
    </row>
    <row r="155" spans="1:23" x14ac:dyDescent="0.3">
      <c r="A155" s="3" t="s">
        <v>340</v>
      </c>
      <c r="B155" s="3" t="s">
        <v>341</v>
      </c>
      <c r="C155" s="3" t="s">
        <v>25</v>
      </c>
      <c r="D155" s="3" t="s">
        <v>36</v>
      </c>
      <c r="E155" s="3">
        <v>2</v>
      </c>
      <c r="F155" s="4">
        <v>99</v>
      </c>
      <c r="G155" s="4">
        <v>5.6</v>
      </c>
      <c r="H155" s="4">
        <v>80.599999999999994</v>
      </c>
      <c r="I155" s="4">
        <v>84.9</v>
      </c>
      <c r="J155" s="4">
        <v>89.3</v>
      </c>
      <c r="K155" s="3">
        <v>2</v>
      </c>
      <c r="L155" s="3">
        <v>2</v>
      </c>
      <c r="M155" s="3">
        <v>0</v>
      </c>
      <c r="N155" s="3" t="s">
        <v>37</v>
      </c>
      <c r="O155" s="5">
        <v>18839</v>
      </c>
      <c r="P155" s="3" t="s">
        <v>28</v>
      </c>
      <c r="Q155" s="6">
        <v>86.24</v>
      </c>
      <c r="R155" s="7" t="str">
        <f>IF(Q155&gt;=KPI!$E$4,"A",IF(Q155&gt;=KPI!$E$5,"B",IF(Q155&gt;=KPI!$E$6,"C",IF(Q155&gt;=KPI!$E$7,"D","F"))))</f>
        <v>A</v>
      </c>
      <c r="S155" s="7">
        <f t="shared" si="8"/>
        <v>1</v>
      </c>
      <c r="T155" s="6">
        <f t="shared" si="9"/>
        <v>87.1</v>
      </c>
      <c r="U155" s="7">
        <f>RANK(Q155,$Q$2:$Q$251,0)+COUNTIF($Q$2:Q155,Q155)-1</f>
        <v>26</v>
      </c>
      <c r="V155" s="3" t="str">
        <f t="shared" si="10"/>
        <v>STUDENT_154</v>
      </c>
      <c r="W155" s="3" t="str">
        <f t="shared" si="11"/>
        <v>154</v>
      </c>
    </row>
    <row r="156" spans="1:23" x14ac:dyDescent="0.3">
      <c r="A156" s="3" t="s">
        <v>342</v>
      </c>
      <c r="B156" s="3" t="s">
        <v>343</v>
      </c>
      <c r="C156" s="3" t="s">
        <v>31</v>
      </c>
      <c r="D156" s="3" t="s">
        <v>26</v>
      </c>
      <c r="E156" s="3">
        <v>8</v>
      </c>
      <c r="F156" s="4">
        <v>83.7</v>
      </c>
      <c r="G156" s="4">
        <v>5.5</v>
      </c>
      <c r="H156" s="4">
        <v>54.1</v>
      </c>
      <c r="I156" s="4">
        <v>91.7</v>
      </c>
      <c r="J156" s="4">
        <v>89.8</v>
      </c>
      <c r="K156" s="3">
        <v>3</v>
      </c>
      <c r="L156" s="3">
        <v>2</v>
      </c>
      <c r="M156" s="3">
        <v>0</v>
      </c>
      <c r="N156" s="3" t="s">
        <v>37</v>
      </c>
      <c r="O156" s="5">
        <v>15949</v>
      </c>
      <c r="P156" s="3" t="s">
        <v>32</v>
      </c>
      <c r="Q156" s="6">
        <v>83.23</v>
      </c>
      <c r="R156" s="7" t="str">
        <f>IF(Q156&gt;=KPI!$E$4,"A",IF(Q156&gt;=KPI!$E$5,"B",IF(Q156&gt;=KPI!$E$6,"C",IF(Q156&gt;=KPI!$E$7,"D","F"))))</f>
        <v>B</v>
      </c>
      <c r="S156" s="7">
        <f t="shared" si="8"/>
        <v>0</v>
      </c>
      <c r="T156" s="6">
        <f t="shared" si="9"/>
        <v>90.75</v>
      </c>
      <c r="U156" s="7">
        <f>RANK(Q156,$Q$2:$Q$251,0)+COUNTIF($Q$2:Q156,Q156)-1</f>
        <v>53</v>
      </c>
      <c r="V156" s="3" t="str">
        <f t="shared" si="10"/>
        <v>STUDENT_155</v>
      </c>
      <c r="W156" s="3" t="str">
        <f t="shared" si="11"/>
        <v>155</v>
      </c>
    </row>
    <row r="157" spans="1:23" x14ac:dyDescent="0.3">
      <c r="A157" s="3" t="s">
        <v>344</v>
      </c>
      <c r="B157" s="3" t="s">
        <v>345</v>
      </c>
      <c r="C157" s="3" t="s">
        <v>43</v>
      </c>
      <c r="D157" s="3" t="s">
        <v>36</v>
      </c>
      <c r="E157" s="3">
        <v>1</v>
      </c>
      <c r="F157" s="4">
        <v>82.9</v>
      </c>
      <c r="G157" s="4">
        <v>6.1</v>
      </c>
      <c r="H157" s="4">
        <v>63.9</v>
      </c>
      <c r="I157" s="4">
        <v>89</v>
      </c>
      <c r="J157" s="4">
        <v>88.3</v>
      </c>
      <c r="K157" s="3">
        <v>3</v>
      </c>
      <c r="L157" s="3">
        <v>4</v>
      </c>
      <c r="M157" s="3">
        <v>0</v>
      </c>
      <c r="N157" s="3" t="s">
        <v>37</v>
      </c>
      <c r="O157" s="5">
        <v>14626</v>
      </c>
      <c r="P157" s="3" t="s">
        <v>28</v>
      </c>
      <c r="Q157" s="6">
        <v>83.63</v>
      </c>
      <c r="R157" s="7" t="str">
        <f>IF(Q157&gt;=KPI!$E$4,"A",IF(Q157&gt;=KPI!$E$5,"B",IF(Q157&gt;=KPI!$E$6,"C",IF(Q157&gt;=KPI!$E$7,"D","F"))))</f>
        <v>B</v>
      </c>
      <c r="S157" s="7">
        <f t="shared" si="8"/>
        <v>1</v>
      </c>
      <c r="T157" s="6">
        <f t="shared" si="9"/>
        <v>88.65</v>
      </c>
      <c r="U157" s="7">
        <f>RANK(Q157,$Q$2:$Q$251,0)+COUNTIF($Q$2:Q157,Q157)-1</f>
        <v>48</v>
      </c>
      <c r="V157" s="3" t="str">
        <f t="shared" si="10"/>
        <v>STUDENT_156</v>
      </c>
      <c r="W157" s="3" t="str">
        <f t="shared" si="11"/>
        <v>156</v>
      </c>
    </row>
    <row r="158" spans="1:23" x14ac:dyDescent="0.3">
      <c r="A158" s="3" t="s">
        <v>346</v>
      </c>
      <c r="B158" s="3" t="s">
        <v>347</v>
      </c>
      <c r="C158" s="3" t="s">
        <v>40</v>
      </c>
      <c r="D158" s="3" t="s">
        <v>26</v>
      </c>
      <c r="E158" s="3">
        <v>2</v>
      </c>
      <c r="F158" s="4">
        <v>81.2</v>
      </c>
      <c r="G158" s="4">
        <v>5.7</v>
      </c>
      <c r="H158" s="4">
        <v>89.6</v>
      </c>
      <c r="I158" s="4">
        <v>75.900000000000006</v>
      </c>
      <c r="J158" s="4">
        <v>93.4</v>
      </c>
      <c r="K158" s="3">
        <v>0</v>
      </c>
      <c r="L158" s="3">
        <v>1</v>
      </c>
      <c r="M158" s="3">
        <v>1</v>
      </c>
      <c r="N158" s="3" t="s">
        <v>37</v>
      </c>
      <c r="O158" s="5">
        <v>5993</v>
      </c>
      <c r="P158" s="3" t="s">
        <v>28</v>
      </c>
      <c r="Q158" s="6">
        <v>87.39</v>
      </c>
      <c r="R158" s="7" t="str">
        <f>IF(Q158&gt;=KPI!$E$4,"A",IF(Q158&gt;=KPI!$E$5,"B",IF(Q158&gt;=KPI!$E$6,"C",IF(Q158&gt;=KPI!$E$7,"D","F"))))</f>
        <v>A</v>
      </c>
      <c r="S158" s="7">
        <f t="shared" si="8"/>
        <v>1</v>
      </c>
      <c r="T158" s="6">
        <f t="shared" si="9"/>
        <v>84.65</v>
      </c>
      <c r="U158" s="7">
        <f>RANK(Q158,$Q$2:$Q$251,0)+COUNTIF($Q$2:Q158,Q158)-1</f>
        <v>18</v>
      </c>
      <c r="V158" s="3" t="str">
        <f t="shared" si="10"/>
        <v>STUDENT_157</v>
      </c>
      <c r="W158" s="3" t="str">
        <f t="shared" si="11"/>
        <v>157</v>
      </c>
    </row>
    <row r="159" spans="1:23" x14ac:dyDescent="0.3">
      <c r="A159" s="3" t="s">
        <v>348</v>
      </c>
      <c r="B159" s="3" t="s">
        <v>349</v>
      </c>
      <c r="C159" s="3" t="s">
        <v>35</v>
      </c>
      <c r="D159" s="3" t="s">
        <v>26</v>
      </c>
      <c r="E159" s="3">
        <v>1</v>
      </c>
      <c r="F159" s="4">
        <v>89</v>
      </c>
      <c r="G159" s="4">
        <v>6.3</v>
      </c>
      <c r="H159" s="4">
        <v>83.4</v>
      </c>
      <c r="I159" s="4">
        <v>83.2</v>
      </c>
      <c r="J159" s="4">
        <v>84.7</v>
      </c>
      <c r="K159" s="3">
        <v>1</v>
      </c>
      <c r="L159" s="3">
        <v>2</v>
      </c>
      <c r="M159" s="3">
        <v>0</v>
      </c>
      <c r="N159" s="3" t="s">
        <v>37</v>
      </c>
      <c r="O159" s="5">
        <v>4869</v>
      </c>
      <c r="P159" s="3" t="s">
        <v>28</v>
      </c>
      <c r="Q159" s="6">
        <v>83.99</v>
      </c>
      <c r="R159" s="7" t="str">
        <f>IF(Q159&gt;=KPI!$E$4,"A",IF(Q159&gt;=KPI!$E$5,"B",IF(Q159&gt;=KPI!$E$6,"C",IF(Q159&gt;=KPI!$E$7,"D","F"))))</f>
        <v>B</v>
      </c>
      <c r="S159" s="7">
        <f t="shared" si="8"/>
        <v>1</v>
      </c>
      <c r="T159" s="6">
        <f t="shared" si="9"/>
        <v>83.95</v>
      </c>
      <c r="U159" s="7">
        <f>RANK(Q159,$Q$2:$Q$251,0)+COUNTIF($Q$2:Q159,Q159)-1</f>
        <v>42</v>
      </c>
      <c r="V159" s="3" t="str">
        <f t="shared" si="10"/>
        <v>STUDENT_158</v>
      </c>
      <c r="W159" s="3" t="str">
        <f t="shared" si="11"/>
        <v>158</v>
      </c>
    </row>
    <row r="160" spans="1:23" x14ac:dyDescent="0.3">
      <c r="A160" s="3" t="s">
        <v>350</v>
      </c>
      <c r="B160" s="3" t="s">
        <v>351</v>
      </c>
      <c r="C160" s="3" t="s">
        <v>43</v>
      </c>
      <c r="D160" s="3" t="s">
        <v>36</v>
      </c>
      <c r="E160" s="3">
        <v>4</v>
      </c>
      <c r="F160" s="4">
        <v>100</v>
      </c>
      <c r="G160" s="4">
        <v>6.6</v>
      </c>
      <c r="H160" s="4">
        <v>85.4</v>
      </c>
      <c r="I160" s="4">
        <v>63</v>
      </c>
      <c r="J160" s="4">
        <v>70.099999999999994</v>
      </c>
      <c r="K160" s="3">
        <v>4</v>
      </c>
      <c r="L160" s="3">
        <v>4</v>
      </c>
      <c r="M160" s="3">
        <v>1</v>
      </c>
      <c r="N160" s="3" t="s">
        <v>27</v>
      </c>
      <c r="O160" s="5">
        <v>0</v>
      </c>
      <c r="P160" s="3" t="s">
        <v>32</v>
      </c>
      <c r="Q160" s="6">
        <v>71.03</v>
      </c>
      <c r="R160" s="7" t="str">
        <f>IF(Q160&gt;=KPI!$E$4,"A",IF(Q160&gt;=KPI!$E$5,"B",IF(Q160&gt;=KPI!$E$6,"C",IF(Q160&gt;=KPI!$E$7,"D","F"))))</f>
        <v>C</v>
      </c>
      <c r="S160" s="7">
        <f t="shared" si="8"/>
        <v>0</v>
      </c>
      <c r="T160" s="6">
        <f t="shared" si="9"/>
        <v>66.55</v>
      </c>
      <c r="U160" s="7">
        <f>RANK(Q160,$Q$2:$Q$251,0)+COUNTIF($Q$2:Q160,Q160)-1</f>
        <v>173</v>
      </c>
      <c r="V160" s="3" t="str">
        <f t="shared" si="10"/>
        <v>STUDENT_159</v>
      </c>
      <c r="W160" s="3" t="str">
        <f t="shared" si="11"/>
        <v>159</v>
      </c>
    </row>
    <row r="161" spans="1:23" x14ac:dyDescent="0.3">
      <c r="A161" s="3" t="s">
        <v>352</v>
      </c>
      <c r="B161" s="3" t="s">
        <v>353</v>
      </c>
      <c r="C161" s="3" t="s">
        <v>35</v>
      </c>
      <c r="D161" s="3" t="s">
        <v>26</v>
      </c>
      <c r="E161" s="3">
        <v>4</v>
      </c>
      <c r="F161" s="4">
        <v>86.7</v>
      </c>
      <c r="G161" s="4">
        <v>7.6</v>
      </c>
      <c r="H161" s="4">
        <v>84.3</v>
      </c>
      <c r="I161" s="4">
        <v>74.400000000000006</v>
      </c>
      <c r="J161" s="4">
        <v>88.5</v>
      </c>
      <c r="K161" s="3">
        <v>4</v>
      </c>
      <c r="L161" s="3">
        <v>3</v>
      </c>
      <c r="M161" s="3">
        <v>0</v>
      </c>
      <c r="N161" s="3" t="s">
        <v>37</v>
      </c>
      <c r="O161" s="5">
        <v>5014</v>
      </c>
      <c r="P161" s="3" t="s">
        <v>28</v>
      </c>
      <c r="Q161" s="6">
        <v>83.43</v>
      </c>
      <c r="R161" s="7" t="str">
        <f>IF(Q161&gt;=KPI!$E$4,"A",IF(Q161&gt;=KPI!$E$5,"B",IF(Q161&gt;=KPI!$E$6,"C",IF(Q161&gt;=KPI!$E$7,"D","F"))))</f>
        <v>B</v>
      </c>
      <c r="S161" s="7">
        <f t="shared" si="8"/>
        <v>1</v>
      </c>
      <c r="T161" s="6">
        <f t="shared" si="9"/>
        <v>81.45</v>
      </c>
      <c r="U161" s="7">
        <f>RANK(Q161,$Q$2:$Q$251,0)+COUNTIF($Q$2:Q161,Q161)-1</f>
        <v>50</v>
      </c>
      <c r="V161" s="3" t="str">
        <f t="shared" si="10"/>
        <v>STUDENT_160</v>
      </c>
      <c r="W161" s="3" t="str">
        <f t="shared" si="11"/>
        <v>160</v>
      </c>
    </row>
    <row r="162" spans="1:23" x14ac:dyDescent="0.3">
      <c r="A162" s="3" t="s">
        <v>354</v>
      </c>
      <c r="B162" s="3" t="s">
        <v>355</v>
      </c>
      <c r="C162" s="3" t="s">
        <v>25</v>
      </c>
      <c r="D162" s="3" t="s">
        <v>26</v>
      </c>
      <c r="E162" s="3">
        <v>8</v>
      </c>
      <c r="F162" s="4">
        <v>76.7</v>
      </c>
      <c r="G162" s="4">
        <v>3.6</v>
      </c>
      <c r="H162" s="4">
        <v>92.8</v>
      </c>
      <c r="I162" s="4">
        <v>55.3</v>
      </c>
      <c r="J162" s="4">
        <v>73.2</v>
      </c>
      <c r="K162" s="3">
        <v>0</v>
      </c>
      <c r="L162" s="3">
        <v>4</v>
      </c>
      <c r="M162" s="3">
        <v>0</v>
      </c>
      <c r="N162" s="3" t="s">
        <v>37</v>
      </c>
      <c r="O162" s="5">
        <v>14103</v>
      </c>
      <c r="P162" s="3" t="s">
        <v>28</v>
      </c>
      <c r="Q162" s="6">
        <v>71.75</v>
      </c>
      <c r="R162" s="7" t="str">
        <f>IF(Q162&gt;=KPI!$E$4,"A",IF(Q162&gt;=KPI!$E$5,"B",IF(Q162&gt;=KPI!$E$6,"C",IF(Q162&gt;=KPI!$E$7,"D","F"))))</f>
        <v>C</v>
      </c>
      <c r="S162" s="7">
        <f t="shared" si="8"/>
        <v>1</v>
      </c>
      <c r="T162" s="6">
        <f t="shared" si="9"/>
        <v>64.25</v>
      </c>
      <c r="U162" s="7">
        <f>RANK(Q162,$Q$2:$Q$251,0)+COUNTIF($Q$2:Q162,Q162)-1</f>
        <v>164</v>
      </c>
      <c r="V162" s="3" t="str">
        <f t="shared" si="10"/>
        <v>STUDENT_161</v>
      </c>
      <c r="W162" s="3" t="str">
        <f t="shared" si="11"/>
        <v>161</v>
      </c>
    </row>
    <row r="163" spans="1:23" x14ac:dyDescent="0.3">
      <c r="A163" s="3" t="s">
        <v>356</v>
      </c>
      <c r="B163" s="3" t="s">
        <v>357</v>
      </c>
      <c r="C163" s="3" t="s">
        <v>40</v>
      </c>
      <c r="D163" s="3" t="s">
        <v>36</v>
      </c>
      <c r="E163" s="3">
        <v>5</v>
      </c>
      <c r="F163" s="4">
        <v>80.8</v>
      </c>
      <c r="G163" s="4">
        <v>5.7</v>
      </c>
      <c r="H163" s="4">
        <v>72.599999999999994</v>
      </c>
      <c r="I163" s="4">
        <v>72.900000000000006</v>
      </c>
      <c r="J163" s="4">
        <v>88.1</v>
      </c>
      <c r="K163" s="3">
        <v>5</v>
      </c>
      <c r="L163" s="3">
        <v>2</v>
      </c>
      <c r="M163" s="3">
        <v>1</v>
      </c>
      <c r="N163" s="3" t="s">
        <v>27</v>
      </c>
      <c r="O163" s="5">
        <v>0</v>
      </c>
      <c r="P163" s="3" t="s">
        <v>28</v>
      </c>
      <c r="Q163" s="6">
        <v>80.44</v>
      </c>
      <c r="R163" s="7" t="str">
        <f>IF(Q163&gt;=KPI!$E$4,"A",IF(Q163&gt;=KPI!$E$5,"B",IF(Q163&gt;=KPI!$E$6,"C",IF(Q163&gt;=KPI!$E$7,"D","F"))))</f>
        <v>B</v>
      </c>
      <c r="S163" s="7">
        <f t="shared" si="8"/>
        <v>1</v>
      </c>
      <c r="T163" s="6">
        <f t="shared" si="9"/>
        <v>80.5</v>
      </c>
      <c r="U163" s="7">
        <f>RANK(Q163,$Q$2:$Q$251,0)+COUNTIF($Q$2:Q163,Q163)-1</f>
        <v>78</v>
      </c>
      <c r="V163" s="3" t="str">
        <f t="shared" si="10"/>
        <v>STUDENT_162</v>
      </c>
      <c r="W163" s="3" t="str">
        <f t="shared" si="11"/>
        <v>162</v>
      </c>
    </row>
    <row r="164" spans="1:23" x14ac:dyDescent="0.3">
      <c r="A164" s="3" t="s">
        <v>358</v>
      </c>
      <c r="B164" s="3" t="s">
        <v>359</v>
      </c>
      <c r="C164" s="3" t="s">
        <v>40</v>
      </c>
      <c r="D164" s="3" t="s">
        <v>36</v>
      </c>
      <c r="E164" s="3">
        <v>2</v>
      </c>
      <c r="F164" s="4">
        <v>91.6</v>
      </c>
      <c r="G164" s="4">
        <v>4.0999999999999996</v>
      </c>
      <c r="H164" s="4">
        <v>77.599999999999994</v>
      </c>
      <c r="I164" s="4">
        <v>73.2</v>
      </c>
      <c r="J164" s="4">
        <v>87.2</v>
      </c>
      <c r="K164" s="3">
        <v>1</v>
      </c>
      <c r="L164" s="3">
        <v>3</v>
      </c>
      <c r="M164" s="3">
        <v>0</v>
      </c>
      <c r="N164" s="3" t="s">
        <v>27</v>
      </c>
      <c r="O164" s="5">
        <v>0</v>
      </c>
      <c r="P164" s="3" t="s">
        <v>32</v>
      </c>
      <c r="Q164" s="6">
        <v>81.08</v>
      </c>
      <c r="R164" s="7" t="str">
        <f>IF(Q164&gt;=KPI!$E$4,"A",IF(Q164&gt;=KPI!$E$5,"B",IF(Q164&gt;=KPI!$E$6,"C",IF(Q164&gt;=KPI!$E$7,"D","F"))))</f>
        <v>B</v>
      </c>
      <c r="S164" s="7">
        <f t="shared" si="8"/>
        <v>0</v>
      </c>
      <c r="T164" s="6">
        <f t="shared" si="9"/>
        <v>80.2</v>
      </c>
      <c r="U164" s="7">
        <f>RANK(Q164,$Q$2:$Q$251,0)+COUNTIF($Q$2:Q164,Q164)-1</f>
        <v>72</v>
      </c>
      <c r="V164" s="3" t="str">
        <f t="shared" si="10"/>
        <v>STUDENT_163</v>
      </c>
      <c r="W164" s="3" t="str">
        <f t="shared" si="11"/>
        <v>163</v>
      </c>
    </row>
    <row r="165" spans="1:23" x14ac:dyDescent="0.3">
      <c r="A165" s="3" t="s">
        <v>360</v>
      </c>
      <c r="B165" s="3" t="s">
        <v>361</v>
      </c>
      <c r="C165" s="3" t="s">
        <v>40</v>
      </c>
      <c r="D165" s="3" t="s">
        <v>36</v>
      </c>
      <c r="E165" s="3">
        <v>6</v>
      </c>
      <c r="F165" s="4">
        <v>76.8</v>
      </c>
      <c r="G165" s="4">
        <v>3.3</v>
      </c>
      <c r="H165" s="4">
        <v>62.6</v>
      </c>
      <c r="I165" s="4">
        <v>96.1</v>
      </c>
      <c r="J165" s="4">
        <v>84.6</v>
      </c>
      <c r="K165" s="3">
        <v>2</v>
      </c>
      <c r="L165" s="3">
        <v>4</v>
      </c>
      <c r="M165" s="3">
        <v>2</v>
      </c>
      <c r="N165" s="3" t="s">
        <v>27</v>
      </c>
      <c r="O165" s="5">
        <v>0</v>
      </c>
      <c r="P165" s="3" t="s">
        <v>32</v>
      </c>
      <c r="Q165" s="6">
        <v>83.65</v>
      </c>
      <c r="R165" s="7" t="str">
        <f>IF(Q165&gt;=KPI!$E$4,"A",IF(Q165&gt;=KPI!$E$5,"B",IF(Q165&gt;=KPI!$E$6,"C",IF(Q165&gt;=KPI!$E$7,"D","F"))))</f>
        <v>B</v>
      </c>
      <c r="S165" s="7">
        <f t="shared" si="8"/>
        <v>0</v>
      </c>
      <c r="T165" s="6">
        <f t="shared" si="9"/>
        <v>90.35</v>
      </c>
      <c r="U165" s="7">
        <f>RANK(Q165,$Q$2:$Q$251,0)+COUNTIF($Q$2:Q165,Q165)-1</f>
        <v>47</v>
      </c>
      <c r="V165" s="3" t="str">
        <f t="shared" si="10"/>
        <v>STUDENT_164</v>
      </c>
      <c r="W165" s="3" t="str">
        <f t="shared" si="11"/>
        <v>164</v>
      </c>
    </row>
    <row r="166" spans="1:23" x14ac:dyDescent="0.3">
      <c r="A166" s="3" t="s">
        <v>362</v>
      </c>
      <c r="B166" s="3" t="s">
        <v>363</v>
      </c>
      <c r="C166" s="3" t="s">
        <v>43</v>
      </c>
      <c r="D166" s="3" t="s">
        <v>36</v>
      </c>
      <c r="E166" s="3">
        <v>5</v>
      </c>
      <c r="F166" s="4">
        <v>89.7</v>
      </c>
      <c r="G166" s="4">
        <v>3.6</v>
      </c>
      <c r="H166" s="4">
        <v>59.4</v>
      </c>
      <c r="I166" s="4"/>
      <c r="J166" s="4">
        <v>76.3</v>
      </c>
      <c r="K166" s="3">
        <v>5</v>
      </c>
      <c r="L166" s="3">
        <v>0</v>
      </c>
      <c r="M166" s="3">
        <v>1</v>
      </c>
      <c r="N166" s="3" t="s">
        <v>27</v>
      </c>
      <c r="O166" s="5">
        <v>0</v>
      </c>
      <c r="P166" s="3" t="s">
        <v>28</v>
      </c>
      <c r="Q166" s="6">
        <v>70.67</v>
      </c>
      <c r="R166" s="7" t="str">
        <f>IF(Q166&gt;=KPI!$E$4,"A",IF(Q166&gt;=KPI!$E$5,"B",IF(Q166&gt;=KPI!$E$6,"C",IF(Q166&gt;=KPI!$E$7,"D","F"))))</f>
        <v>C</v>
      </c>
      <c r="S166" s="7">
        <f t="shared" si="8"/>
        <v>1</v>
      </c>
      <c r="T166" s="6">
        <f t="shared" si="9"/>
        <v>76.3</v>
      </c>
      <c r="U166" s="7">
        <f>RANK(Q166,$Q$2:$Q$251,0)+COUNTIF($Q$2:Q166,Q166)-1</f>
        <v>180</v>
      </c>
      <c r="V166" s="3" t="str">
        <f t="shared" si="10"/>
        <v>STUDENT_165</v>
      </c>
      <c r="W166" s="3" t="str">
        <f t="shared" si="11"/>
        <v>165</v>
      </c>
    </row>
    <row r="167" spans="1:23" x14ac:dyDescent="0.3">
      <c r="A167" s="3" t="s">
        <v>364</v>
      </c>
      <c r="B167" s="3" t="s">
        <v>365</v>
      </c>
      <c r="C167" s="3" t="s">
        <v>35</v>
      </c>
      <c r="D167" s="3" t="s">
        <v>26</v>
      </c>
      <c r="E167" s="3">
        <v>2</v>
      </c>
      <c r="F167" s="4">
        <v>61.1</v>
      </c>
      <c r="G167" s="4">
        <v>5.7</v>
      </c>
      <c r="H167" s="4">
        <v>54.6</v>
      </c>
      <c r="I167" s="4">
        <v>73.3</v>
      </c>
      <c r="J167" s="4">
        <v>68.900000000000006</v>
      </c>
      <c r="K167" s="3">
        <v>5</v>
      </c>
      <c r="L167" s="3">
        <v>3</v>
      </c>
      <c r="M167" s="3">
        <v>0</v>
      </c>
      <c r="N167" s="3" t="s">
        <v>37</v>
      </c>
      <c r="O167" s="5">
        <v>12685</v>
      </c>
      <c r="P167" s="3" t="s">
        <v>32</v>
      </c>
      <c r="Q167" s="6">
        <v>67.36</v>
      </c>
      <c r="R167" s="7" t="str">
        <f>IF(Q167&gt;=KPI!$E$4,"A",IF(Q167&gt;=KPI!$E$5,"B",IF(Q167&gt;=KPI!$E$6,"C",IF(Q167&gt;=KPI!$E$7,"D","F"))))</f>
        <v>C</v>
      </c>
      <c r="S167" s="7">
        <f t="shared" si="8"/>
        <v>0</v>
      </c>
      <c r="T167" s="6">
        <f t="shared" si="9"/>
        <v>71.099999999999994</v>
      </c>
      <c r="U167" s="7">
        <f>RANK(Q167,$Q$2:$Q$251,0)+COUNTIF($Q$2:Q167,Q167)-1</f>
        <v>202</v>
      </c>
      <c r="V167" s="3" t="str">
        <f t="shared" si="10"/>
        <v>STUDENT_166</v>
      </c>
      <c r="W167" s="3" t="str">
        <f t="shared" si="11"/>
        <v>166</v>
      </c>
    </row>
    <row r="168" spans="1:23" x14ac:dyDescent="0.3">
      <c r="A168" s="3" t="s">
        <v>366</v>
      </c>
      <c r="B168" s="3" t="s">
        <v>367</v>
      </c>
      <c r="C168" s="3" t="s">
        <v>25</v>
      </c>
      <c r="D168" s="3" t="s">
        <v>26</v>
      </c>
      <c r="E168" s="3">
        <v>5</v>
      </c>
      <c r="F168" s="4">
        <v>79.900000000000006</v>
      </c>
      <c r="G168" s="4">
        <v>5.6</v>
      </c>
      <c r="H168" s="4">
        <v>64.5</v>
      </c>
      <c r="I168" s="4">
        <v>75.3</v>
      </c>
      <c r="J168" s="4">
        <v>68.7</v>
      </c>
      <c r="K168" s="3">
        <v>0</v>
      </c>
      <c r="L168" s="3">
        <v>0</v>
      </c>
      <c r="M168" s="3">
        <v>1</v>
      </c>
      <c r="N168" s="3" t="s">
        <v>27</v>
      </c>
      <c r="O168" s="5">
        <v>0</v>
      </c>
      <c r="P168" s="3" t="s">
        <v>32</v>
      </c>
      <c r="Q168" s="6">
        <v>69.84</v>
      </c>
      <c r="R168" s="7" t="str">
        <f>IF(Q168&gt;=KPI!$E$4,"A",IF(Q168&gt;=KPI!$E$5,"B",IF(Q168&gt;=KPI!$E$6,"C",IF(Q168&gt;=KPI!$E$7,"D","F"))))</f>
        <v>C</v>
      </c>
      <c r="S168" s="7">
        <f t="shared" si="8"/>
        <v>0</v>
      </c>
      <c r="T168" s="6">
        <f t="shared" si="9"/>
        <v>72</v>
      </c>
      <c r="U168" s="7">
        <f>RANK(Q168,$Q$2:$Q$251,0)+COUNTIF($Q$2:Q168,Q168)-1</f>
        <v>188</v>
      </c>
      <c r="V168" s="3" t="str">
        <f t="shared" si="10"/>
        <v>STUDENT_167</v>
      </c>
      <c r="W168" s="3" t="str">
        <f t="shared" si="11"/>
        <v>167</v>
      </c>
    </row>
    <row r="169" spans="1:23" x14ac:dyDescent="0.3">
      <c r="A169" s="3" t="s">
        <v>368</v>
      </c>
      <c r="B169" s="3" t="s">
        <v>369</v>
      </c>
      <c r="C169" s="3" t="s">
        <v>43</v>
      </c>
      <c r="D169" s="3" t="s">
        <v>26</v>
      </c>
      <c r="E169" s="3">
        <v>6</v>
      </c>
      <c r="F169" s="4">
        <v>87.7</v>
      </c>
      <c r="G169" s="4">
        <v>5.5</v>
      </c>
      <c r="H169" s="4">
        <v>96.2</v>
      </c>
      <c r="I169" s="4">
        <v>65.599999999999994</v>
      </c>
      <c r="J169" s="4">
        <v>82.9</v>
      </c>
      <c r="K169" s="3">
        <v>0</v>
      </c>
      <c r="L169" s="3">
        <v>1</v>
      </c>
      <c r="M169" s="3">
        <v>0</v>
      </c>
      <c r="N169" s="3" t="s">
        <v>27</v>
      </c>
      <c r="O169" s="5">
        <v>0</v>
      </c>
      <c r="P169" s="3" t="s">
        <v>32</v>
      </c>
      <c r="Q169" s="6">
        <v>80.37</v>
      </c>
      <c r="R169" s="7" t="str">
        <f>IF(Q169&gt;=KPI!$E$4,"A",IF(Q169&gt;=KPI!$E$5,"B",IF(Q169&gt;=KPI!$E$6,"C",IF(Q169&gt;=KPI!$E$7,"D","F"))))</f>
        <v>B</v>
      </c>
      <c r="S169" s="7">
        <f t="shared" si="8"/>
        <v>0</v>
      </c>
      <c r="T169" s="6">
        <f t="shared" si="9"/>
        <v>74.25</v>
      </c>
      <c r="U169" s="7">
        <f>RANK(Q169,$Q$2:$Q$251,0)+COUNTIF($Q$2:Q169,Q169)-1</f>
        <v>80</v>
      </c>
      <c r="V169" s="3" t="str">
        <f t="shared" si="10"/>
        <v>STUDENT_168</v>
      </c>
      <c r="W169" s="3" t="str">
        <f t="shared" si="11"/>
        <v>168</v>
      </c>
    </row>
    <row r="170" spans="1:23" x14ac:dyDescent="0.3">
      <c r="A170" s="3" t="s">
        <v>370</v>
      </c>
      <c r="B170" s="3" t="s">
        <v>371</v>
      </c>
      <c r="C170" s="3" t="s">
        <v>43</v>
      </c>
      <c r="D170" s="3" t="s">
        <v>36</v>
      </c>
      <c r="E170" s="3">
        <v>3</v>
      </c>
      <c r="F170" s="4">
        <v>93.4</v>
      </c>
      <c r="G170" s="4">
        <v>4.4000000000000004</v>
      </c>
      <c r="H170" s="4">
        <v>55.8</v>
      </c>
      <c r="I170" s="4">
        <v>60.8</v>
      </c>
      <c r="J170" s="4">
        <v>75.7</v>
      </c>
      <c r="K170" s="3">
        <v>4</v>
      </c>
      <c r="L170" s="3">
        <v>3</v>
      </c>
      <c r="M170" s="3">
        <v>0</v>
      </c>
      <c r="N170" s="3" t="s">
        <v>37</v>
      </c>
      <c r="O170" s="5">
        <v>11240</v>
      </c>
      <c r="P170" s="3" t="s">
        <v>28</v>
      </c>
      <c r="Q170" s="6">
        <v>67.25</v>
      </c>
      <c r="R170" s="7" t="str">
        <f>IF(Q170&gt;=KPI!$E$4,"A",IF(Q170&gt;=KPI!$E$5,"B",IF(Q170&gt;=KPI!$E$6,"C",IF(Q170&gt;=KPI!$E$7,"D","F"))))</f>
        <v>C</v>
      </c>
      <c r="S170" s="7">
        <f t="shared" si="8"/>
        <v>1</v>
      </c>
      <c r="T170" s="6">
        <f t="shared" si="9"/>
        <v>68.25</v>
      </c>
      <c r="U170" s="7">
        <f>RANK(Q170,$Q$2:$Q$251,0)+COUNTIF($Q$2:Q170,Q170)-1</f>
        <v>203</v>
      </c>
      <c r="V170" s="3" t="str">
        <f t="shared" si="10"/>
        <v>STUDENT_169</v>
      </c>
      <c r="W170" s="3" t="str">
        <f t="shared" si="11"/>
        <v>169</v>
      </c>
    </row>
    <row r="171" spans="1:23" x14ac:dyDescent="0.3">
      <c r="A171" s="3" t="s">
        <v>372</v>
      </c>
      <c r="B171" s="3" t="s">
        <v>373</v>
      </c>
      <c r="C171" s="3" t="s">
        <v>40</v>
      </c>
      <c r="D171" s="3" t="s">
        <v>36</v>
      </c>
      <c r="E171" s="3">
        <v>3</v>
      </c>
      <c r="F171" s="4">
        <v>74.599999999999994</v>
      </c>
      <c r="G171" s="4">
        <v>4.8</v>
      </c>
      <c r="H171" s="4">
        <v>72.099999999999994</v>
      </c>
      <c r="I171" s="4">
        <v>90.2</v>
      </c>
      <c r="J171" s="4">
        <v>87.7</v>
      </c>
      <c r="K171" s="3">
        <v>0</v>
      </c>
      <c r="L171" s="3">
        <v>0</v>
      </c>
      <c r="M171" s="3">
        <v>0</v>
      </c>
      <c r="N171" s="3" t="s">
        <v>27</v>
      </c>
      <c r="O171" s="5">
        <v>0</v>
      </c>
      <c r="P171" s="3" t="s">
        <v>32</v>
      </c>
      <c r="Q171" s="6">
        <v>85.33</v>
      </c>
      <c r="R171" s="7" t="str">
        <f>IF(Q171&gt;=KPI!$E$4,"A",IF(Q171&gt;=KPI!$E$5,"B",IF(Q171&gt;=KPI!$E$6,"C",IF(Q171&gt;=KPI!$E$7,"D","F"))))</f>
        <v>A</v>
      </c>
      <c r="S171" s="7">
        <f t="shared" si="8"/>
        <v>0</v>
      </c>
      <c r="T171" s="6">
        <f t="shared" si="9"/>
        <v>88.95</v>
      </c>
      <c r="U171" s="7">
        <f>RANK(Q171,$Q$2:$Q$251,0)+COUNTIF($Q$2:Q171,Q171)-1</f>
        <v>31</v>
      </c>
      <c r="V171" s="3" t="str">
        <f t="shared" si="10"/>
        <v>STUDENT_170</v>
      </c>
      <c r="W171" s="3" t="str">
        <f t="shared" si="11"/>
        <v>170</v>
      </c>
    </row>
    <row r="172" spans="1:23" x14ac:dyDescent="0.3">
      <c r="A172" s="3" t="s">
        <v>374</v>
      </c>
      <c r="B172" s="3" t="s">
        <v>375</v>
      </c>
      <c r="C172" s="3" t="s">
        <v>40</v>
      </c>
      <c r="D172" s="3" t="s">
        <v>36</v>
      </c>
      <c r="E172" s="3">
        <v>8</v>
      </c>
      <c r="F172" s="4">
        <v>68.5</v>
      </c>
      <c r="G172" s="4">
        <v>6.3</v>
      </c>
      <c r="H172" s="4">
        <v>59.2</v>
      </c>
      <c r="I172" s="4">
        <v>58.3</v>
      </c>
      <c r="J172" s="4">
        <v>73.2</v>
      </c>
      <c r="K172" s="3">
        <v>0</v>
      </c>
      <c r="L172" s="3">
        <v>2</v>
      </c>
      <c r="M172" s="3">
        <v>0</v>
      </c>
      <c r="N172" s="3" t="s">
        <v>37</v>
      </c>
      <c r="O172" s="5">
        <v>16677</v>
      </c>
      <c r="P172" s="3" t="s">
        <v>28</v>
      </c>
      <c r="Q172" s="6">
        <v>65.930000000000007</v>
      </c>
      <c r="R172" s="7" t="str">
        <f>IF(Q172&gt;=KPI!$E$4,"A",IF(Q172&gt;=KPI!$E$5,"B",IF(Q172&gt;=KPI!$E$6,"C",IF(Q172&gt;=KPI!$E$7,"D","F"))))</f>
        <v>C</v>
      </c>
      <c r="S172" s="7">
        <f t="shared" si="8"/>
        <v>1</v>
      </c>
      <c r="T172" s="6">
        <f t="shared" si="9"/>
        <v>65.75</v>
      </c>
      <c r="U172" s="7">
        <f>RANK(Q172,$Q$2:$Q$251,0)+COUNTIF($Q$2:Q172,Q172)-1</f>
        <v>209</v>
      </c>
      <c r="V172" s="3" t="str">
        <f t="shared" si="10"/>
        <v>STUDENT_171</v>
      </c>
      <c r="W172" s="3" t="str">
        <f t="shared" si="11"/>
        <v>171</v>
      </c>
    </row>
    <row r="173" spans="1:23" x14ac:dyDescent="0.3">
      <c r="A173" s="3" t="s">
        <v>376</v>
      </c>
      <c r="B173" s="3" t="s">
        <v>377</v>
      </c>
      <c r="C173" s="3" t="s">
        <v>43</v>
      </c>
      <c r="D173" s="3" t="s">
        <v>36</v>
      </c>
      <c r="E173" s="3">
        <v>3</v>
      </c>
      <c r="F173" s="4">
        <v>79.7</v>
      </c>
      <c r="G173" s="4">
        <v>2.1</v>
      </c>
      <c r="H173" s="4">
        <v>68.2</v>
      </c>
      <c r="I173" s="4">
        <v>53.4</v>
      </c>
      <c r="J173" s="4">
        <v>58.2</v>
      </c>
      <c r="K173" s="3">
        <v>0</v>
      </c>
      <c r="L173" s="3">
        <v>2</v>
      </c>
      <c r="M173" s="3">
        <v>2</v>
      </c>
      <c r="N173" s="3" t="s">
        <v>27</v>
      </c>
      <c r="O173" s="5">
        <v>0</v>
      </c>
      <c r="P173" s="3" t="s">
        <v>28</v>
      </c>
      <c r="Q173" s="6">
        <v>58.76</v>
      </c>
      <c r="R173" s="7" t="str">
        <f>IF(Q173&gt;=KPI!$E$4,"A",IF(Q173&gt;=KPI!$E$5,"B",IF(Q173&gt;=KPI!$E$6,"C",IF(Q173&gt;=KPI!$E$7,"D","F"))))</f>
        <v>D</v>
      </c>
      <c r="S173" s="7">
        <f t="shared" si="8"/>
        <v>1</v>
      </c>
      <c r="T173" s="6">
        <f t="shared" si="9"/>
        <v>55.8</v>
      </c>
      <c r="U173" s="7">
        <f>RANK(Q173,$Q$2:$Q$251,0)+COUNTIF($Q$2:Q173,Q173)-1</f>
        <v>243</v>
      </c>
      <c r="V173" s="3" t="str">
        <f t="shared" si="10"/>
        <v>STUDENT_172</v>
      </c>
      <c r="W173" s="3" t="str">
        <f t="shared" si="11"/>
        <v>172</v>
      </c>
    </row>
    <row r="174" spans="1:23" x14ac:dyDescent="0.3">
      <c r="A174" s="3" t="s">
        <v>378</v>
      </c>
      <c r="B174" s="3" t="s">
        <v>379</v>
      </c>
      <c r="C174" s="3" t="s">
        <v>40</v>
      </c>
      <c r="D174" s="3" t="s">
        <v>26</v>
      </c>
      <c r="E174" s="3">
        <v>3</v>
      </c>
      <c r="F174" s="4">
        <v>71.900000000000006</v>
      </c>
      <c r="G174" s="4">
        <v>4.8</v>
      </c>
      <c r="H174" s="4">
        <v>78.2</v>
      </c>
      <c r="I174" s="4">
        <v>81.5</v>
      </c>
      <c r="J174" s="4">
        <v>78.3</v>
      </c>
      <c r="K174" s="3">
        <v>4</v>
      </c>
      <c r="L174" s="3">
        <v>1</v>
      </c>
      <c r="M174" s="3">
        <v>1</v>
      </c>
      <c r="N174" s="3" t="s">
        <v>37</v>
      </c>
      <c r="O174" s="5">
        <v>12024</v>
      </c>
      <c r="P174" s="3" t="s">
        <v>28</v>
      </c>
      <c r="Q174" s="6">
        <v>79.239999999999995</v>
      </c>
      <c r="R174" s="7" t="str">
        <f>IF(Q174&gt;=KPI!$E$4,"A",IF(Q174&gt;=KPI!$E$5,"B",IF(Q174&gt;=KPI!$E$6,"C",IF(Q174&gt;=KPI!$E$7,"D","F"))))</f>
        <v>B</v>
      </c>
      <c r="S174" s="7">
        <f t="shared" si="8"/>
        <v>1</v>
      </c>
      <c r="T174" s="6">
        <f t="shared" si="9"/>
        <v>79.900000000000006</v>
      </c>
      <c r="U174" s="7">
        <f>RANK(Q174,$Q$2:$Q$251,0)+COUNTIF($Q$2:Q174,Q174)-1</f>
        <v>89</v>
      </c>
      <c r="V174" s="3" t="str">
        <f t="shared" si="10"/>
        <v>STUDENT_173</v>
      </c>
      <c r="W174" s="3" t="str">
        <f t="shared" si="11"/>
        <v>173</v>
      </c>
    </row>
    <row r="175" spans="1:23" x14ac:dyDescent="0.3">
      <c r="A175" s="3" t="s">
        <v>380</v>
      </c>
      <c r="B175" s="3" t="s">
        <v>381</v>
      </c>
      <c r="C175" s="3" t="s">
        <v>43</v>
      </c>
      <c r="D175" s="3" t="s">
        <v>36</v>
      </c>
      <c r="E175" s="3">
        <v>7</v>
      </c>
      <c r="F175" s="4">
        <v>80.7</v>
      </c>
      <c r="G175" s="4">
        <v>5</v>
      </c>
      <c r="H175" s="4">
        <v>66.900000000000006</v>
      </c>
      <c r="I175" s="4">
        <v>88.2</v>
      </c>
      <c r="J175" s="4">
        <v>85.9</v>
      </c>
      <c r="K175" s="3">
        <v>2</v>
      </c>
      <c r="L175" s="3">
        <v>3</v>
      </c>
      <c r="M175" s="3">
        <v>2</v>
      </c>
      <c r="N175" s="3" t="s">
        <v>27</v>
      </c>
      <c r="O175" s="5">
        <v>0</v>
      </c>
      <c r="P175" s="3" t="s">
        <v>28</v>
      </c>
      <c r="Q175" s="6">
        <v>82.79</v>
      </c>
      <c r="R175" s="7" t="str">
        <f>IF(Q175&gt;=KPI!$E$4,"A",IF(Q175&gt;=KPI!$E$5,"B",IF(Q175&gt;=KPI!$E$6,"C",IF(Q175&gt;=KPI!$E$7,"D","F"))))</f>
        <v>B</v>
      </c>
      <c r="S175" s="7">
        <f t="shared" si="8"/>
        <v>1</v>
      </c>
      <c r="T175" s="6">
        <f t="shared" si="9"/>
        <v>87.050000000000011</v>
      </c>
      <c r="U175" s="7">
        <f>RANK(Q175,$Q$2:$Q$251,0)+COUNTIF($Q$2:Q175,Q175)-1</f>
        <v>58</v>
      </c>
      <c r="V175" s="3" t="str">
        <f t="shared" si="10"/>
        <v>STUDENT_174</v>
      </c>
      <c r="W175" s="3" t="str">
        <f t="shared" si="11"/>
        <v>174</v>
      </c>
    </row>
    <row r="176" spans="1:23" x14ac:dyDescent="0.3">
      <c r="A176" s="3" t="s">
        <v>382</v>
      </c>
      <c r="B176" s="3" t="s">
        <v>383</v>
      </c>
      <c r="C176" s="3" t="s">
        <v>40</v>
      </c>
      <c r="D176" s="3" t="s">
        <v>26</v>
      </c>
      <c r="E176" s="3">
        <v>1</v>
      </c>
      <c r="F176" s="4">
        <v>81.900000000000006</v>
      </c>
      <c r="G176" s="4">
        <v>6.2</v>
      </c>
      <c r="H176" s="4">
        <v>90.2</v>
      </c>
      <c r="I176" s="4">
        <v>65.7</v>
      </c>
      <c r="J176" s="4">
        <v>77.099999999999994</v>
      </c>
      <c r="K176" s="3">
        <v>2</v>
      </c>
      <c r="L176" s="3">
        <v>3</v>
      </c>
      <c r="M176" s="3">
        <v>0</v>
      </c>
      <c r="N176" s="3" t="s">
        <v>27</v>
      </c>
      <c r="O176" s="5">
        <v>0</v>
      </c>
      <c r="P176" s="3" t="s">
        <v>28</v>
      </c>
      <c r="Q176" s="6">
        <v>76.3</v>
      </c>
      <c r="R176" s="7" t="str">
        <f>IF(Q176&gt;=KPI!$E$4,"A",IF(Q176&gt;=KPI!$E$5,"B",IF(Q176&gt;=KPI!$E$6,"C",IF(Q176&gt;=KPI!$E$7,"D","F"))))</f>
        <v>B</v>
      </c>
      <c r="S176" s="7">
        <f t="shared" si="8"/>
        <v>1</v>
      </c>
      <c r="T176" s="6">
        <f t="shared" si="9"/>
        <v>71.400000000000006</v>
      </c>
      <c r="U176" s="7">
        <f>RANK(Q176,$Q$2:$Q$251,0)+COUNTIF($Q$2:Q176,Q176)-1</f>
        <v>120</v>
      </c>
      <c r="V176" s="3" t="str">
        <f t="shared" si="10"/>
        <v>STUDENT_175</v>
      </c>
      <c r="W176" s="3" t="str">
        <f t="shared" si="11"/>
        <v>175</v>
      </c>
    </row>
    <row r="177" spans="1:23" x14ac:dyDescent="0.3">
      <c r="A177" s="3" t="s">
        <v>384</v>
      </c>
      <c r="B177" s="3" t="s">
        <v>385</v>
      </c>
      <c r="C177" s="3" t="s">
        <v>43</v>
      </c>
      <c r="D177" s="3" t="s">
        <v>36</v>
      </c>
      <c r="E177" s="3">
        <v>7</v>
      </c>
      <c r="F177" s="4">
        <v>70.099999999999994</v>
      </c>
      <c r="G177" s="4">
        <v>2.4</v>
      </c>
      <c r="H177" s="4">
        <v>95.9</v>
      </c>
      <c r="I177" s="4">
        <v>65.900000000000006</v>
      </c>
      <c r="J177" s="4">
        <v>68.8</v>
      </c>
      <c r="K177" s="3">
        <v>0</v>
      </c>
      <c r="L177" s="3">
        <v>3</v>
      </c>
      <c r="M177" s="3">
        <v>0</v>
      </c>
      <c r="N177" s="3" t="s">
        <v>27</v>
      </c>
      <c r="O177" s="5">
        <v>0</v>
      </c>
      <c r="P177" s="3" t="s">
        <v>28</v>
      </c>
      <c r="Q177" s="6">
        <v>73.349999999999994</v>
      </c>
      <c r="R177" s="7" t="str">
        <f>IF(Q177&gt;=KPI!$E$4,"A",IF(Q177&gt;=KPI!$E$5,"B",IF(Q177&gt;=KPI!$E$6,"C",IF(Q177&gt;=KPI!$E$7,"D","F"))))</f>
        <v>C</v>
      </c>
      <c r="S177" s="7">
        <f t="shared" si="8"/>
        <v>1</v>
      </c>
      <c r="T177" s="6">
        <f t="shared" si="9"/>
        <v>67.349999999999994</v>
      </c>
      <c r="U177" s="7">
        <f>RANK(Q177,$Q$2:$Q$251,0)+COUNTIF($Q$2:Q177,Q177)-1</f>
        <v>147</v>
      </c>
      <c r="V177" s="3" t="str">
        <f t="shared" si="10"/>
        <v>STUDENT_176</v>
      </c>
      <c r="W177" s="3" t="str">
        <f t="shared" si="11"/>
        <v>176</v>
      </c>
    </row>
    <row r="178" spans="1:23" x14ac:dyDescent="0.3">
      <c r="A178" s="3" t="s">
        <v>386</v>
      </c>
      <c r="B178" s="3" t="s">
        <v>387</v>
      </c>
      <c r="C178" s="3" t="s">
        <v>35</v>
      </c>
      <c r="D178" s="3" t="s">
        <v>26</v>
      </c>
      <c r="E178" s="3">
        <v>7</v>
      </c>
      <c r="F178" s="4">
        <v>89.2</v>
      </c>
      <c r="G178" s="4">
        <v>7.5</v>
      </c>
      <c r="H178" s="4">
        <v>46.8</v>
      </c>
      <c r="I178" s="4">
        <v>76</v>
      </c>
      <c r="J178" s="4">
        <v>80.8</v>
      </c>
      <c r="K178" s="3">
        <v>4</v>
      </c>
      <c r="L178" s="3">
        <v>1</v>
      </c>
      <c r="M178" s="3">
        <v>0</v>
      </c>
      <c r="N178" s="3" t="s">
        <v>37</v>
      </c>
      <c r="O178" s="5">
        <v>15035</v>
      </c>
      <c r="P178" s="3" t="s">
        <v>32</v>
      </c>
      <c r="Q178" s="6">
        <v>72.56</v>
      </c>
      <c r="R178" s="7" t="str">
        <f>IF(Q178&gt;=KPI!$E$4,"A",IF(Q178&gt;=KPI!$E$5,"B",IF(Q178&gt;=KPI!$E$6,"C",IF(Q178&gt;=KPI!$E$7,"D","F"))))</f>
        <v>C</v>
      </c>
      <c r="S178" s="7">
        <f t="shared" si="8"/>
        <v>0</v>
      </c>
      <c r="T178" s="6">
        <f t="shared" si="9"/>
        <v>78.400000000000006</v>
      </c>
      <c r="U178" s="7">
        <f>RANK(Q178,$Q$2:$Q$251,0)+COUNTIF($Q$2:Q178,Q178)-1</f>
        <v>156</v>
      </c>
      <c r="V178" s="3" t="str">
        <f t="shared" si="10"/>
        <v>STUDENT_177</v>
      </c>
      <c r="W178" s="3" t="str">
        <f t="shared" si="11"/>
        <v>177</v>
      </c>
    </row>
    <row r="179" spans="1:23" x14ac:dyDescent="0.3">
      <c r="A179" s="3" t="s">
        <v>388</v>
      </c>
      <c r="B179" s="3" t="s">
        <v>389</v>
      </c>
      <c r="C179" s="3" t="s">
        <v>25</v>
      </c>
      <c r="D179" s="3" t="s">
        <v>36</v>
      </c>
      <c r="E179" s="3">
        <v>8</v>
      </c>
      <c r="F179" s="4">
        <v>80.599999999999994</v>
      </c>
      <c r="G179" s="4">
        <v>5.2</v>
      </c>
      <c r="H179" s="4">
        <v>67.099999999999994</v>
      </c>
      <c r="I179" s="4">
        <v>62.1</v>
      </c>
      <c r="J179" s="4">
        <v>76.599999999999994</v>
      </c>
      <c r="K179" s="3">
        <v>2</v>
      </c>
      <c r="L179" s="3">
        <v>3</v>
      </c>
      <c r="M179" s="3">
        <v>1</v>
      </c>
      <c r="N179" s="3" t="s">
        <v>27</v>
      </c>
      <c r="O179" s="5">
        <v>0</v>
      </c>
      <c r="P179" s="3" t="s">
        <v>28</v>
      </c>
      <c r="Q179" s="6">
        <v>70.349999999999994</v>
      </c>
      <c r="R179" s="7" t="str">
        <f>IF(Q179&gt;=KPI!$E$4,"A",IF(Q179&gt;=KPI!$E$5,"B",IF(Q179&gt;=KPI!$E$6,"C",IF(Q179&gt;=KPI!$E$7,"D","F"))))</f>
        <v>C</v>
      </c>
      <c r="S179" s="7">
        <f t="shared" si="8"/>
        <v>1</v>
      </c>
      <c r="T179" s="6">
        <f t="shared" si="9"/>
        <v>69.349999999999994</v>
      </c>
      <c r="U179" s="7">
        <f>RANK(Q179,$Q$2:$Q$251,0)+COUNTIF($Q$2:Q179,Q179)-1</f>
        <v>183</v>
      </c>
      <c r="V179" s="3" t="str">
        <f t="shared" si="10"/>
        <v>STUDENT_178</v>
      </c>
      <c r="W179" s="3" t="str">
        <f t="shared" si="11"/>
        <v>178</v>
      </c>
    </row>
    <row r="180" spans="1:23" x14ac:dyDescent="0.3">
      <c r="A180" s="3" t="s">
        <v>390</v>
      </c>
      <c r="B180" s="3" t="s">
        <v>391</v>
      </c>
      <c r="C180" s="3" t="s">
        <v>31</v>
      </c>
      <c r="D180" s="3" t="s">
        <v>26</v>
      </c>
      <c r="E180" s="3">
        <v>7</v>
      </c>
      <c r="F180" s="4">
        <v>91.7</v>
      </c>
      <c r="G180" s="4">
        <v>5.3</v>
      </c>
      <c r="H180" s="4">
        <v>76.8</v>
      </c>
      <c r="I180" s="4">
        <v>61.1</v>
      </c>
      <c r="J180" s="4">
        <v>74.2</v>
      </c>
      <c r="K180" s="3">
        <v>5</v>
      </c>
      <c r="L180" s="3">
        <v>2</v>
      </c>
      <c r="M180" s="3">
        <v>0</v>
      </c>
      <c r="N180" s="3" t="s">
        <v>27</v>
      </c>
      <c r="O180" s="5">
        <v>0</v>
      </c>
      <c r="P180" s="3" t="s">
        <v>28</v>
      </c>
      <c r="Q180" s="6">
        <v>70.790000000000006</v>
      </c>
      <c r="R180" s="7" t="str">
        <f>IF(Q180&gt;=KPI!$E$4,"A",IF(Q180&gt;=KPI!$E$5,"B",IF(Q180&gt;=KPI!$E$6,"C",IF(Q180&gt;=KPI!$E$7,"D","F"))))</f>
        <v>C</v>
      </c>
      <c r="S180" s="7">
        <f t="shared" si="8"/>
        <v>1</v>
      </c>
      <c r="T180" s="6">
        <f t="shared" si="9"/>
        <v>67.650000000000006</v>
      </c>
      <c r="U180" s="7">
        <f>RANK(Q180,$Q$2:$Q$251,0)+COUNTIF($Q$2:Q180,Q180)-1</f>
        <v>177</v>
      </c>
      <c r="V180" s="3" t="str">
        <f t="shared" si="10"/>
        <v>STUDENT_179</v>
      </c>
      <c r="W180" s="3" t="str">
        <f t="shared" si="11"/>
        <v>179</v>
      </c>
    </row>
    <row r="181" spans="1:23" x14ac:dyDescent="0.3">
      <c r="A181" s="3" t="s">
        <v>392</v>
      </c>
      <c r="B181" s="3" t="s">
        <v>393</v>
      </c>
      <c r="C181" s="3" t="s">
        <v>43</v>
      </c>
      <c r="D181" s="3" t="s">
        <v>26</v>
      </c>
      <c r="E181" s="3">
        <v>3</v>
      </c>
      <c r="F181" s="4">
        <v>65.400000000000006</v>
      </c>
      <c r="G181" s="4"/>
      <c r="H181" s="4">
        <v>90.6</v>
      </c>
      <c r="I181" s="4">
        <v>84.3</v>
      </c>
      <c r="J181" s="4">
        <v>73.7</v>
      </c>
      <c r="K181" s="3">
        <v>2</v>
      </c>
      <c r="L181" s="3">
        <v>0</v>
      </c>
      <c r="M181" s="3">
        <v>4</v>
      </c>
      <c r="N181" s="3" t="s">
        <v>27</v>
      </c>
      <c r="O181" s="5">
        <v>0</v>
      </c>
      <c r="P181" s="3" t="s">
        <v>28</v>
      </c>
      <c r="Q181" s="6">
        <v>80.260000000000005</v>
      </c>
      <c r="R181" s="7" t="str">
        <f>IF(Q181&gt;=KPI!$E$4,"A",IF(Q181&gt;=KPI!$E$5,"B",IF(Q181&gt;=KPI!$E$6,"C",IF(Q181&gt;=KPI!$E$7,"D","F"))))</f>
        <v>B</v>
      </c>
      <c r="S181" s="7">
        <f t="shared" si="8"/>
        <v>1</v>
      </c>
      <c r="T181" s="6">
        <f t="shared" si="9"/>
        <v>79</v>
      </c>
      <c r="U181" s="7">
        <f>RANK(Q181,$Q$2:$Q$251,0)+COUNTIF($Q$2:Q181,Q181)-1</f>
        <v>81</v>
      </c>
      <c r="V181" s="3" t="str">
        <f t="shared" si="10"/>
        <v>STUDENT_180</v>
      </c>
      <c r="W181" s="3" t="str">
        <f t="shared" si="11"/>
        <v>180</v>
      </c>
    </row>
    <row r="182" spans="1:23" x14ac:dyDescent="0.3">
      <c r="A182" s="3" t="s">
        <v>394</v>
      </c>
      <c r="B182" s="3" t="s">
        <v>395</v>
      </c>
      <c r="C182" s="3" t="s">
        <v>25</v>
      </c>
      <c r="D182" s="3" t="s">
        <v>26</v>
      </c>
      <c r="E182" s="3">
        <v>6</v>
      </c>
      <c r="F182" s="4">
        <v>72.8</v>
      </c>
      <c r="G182" s="4">
        <v>5.8</v>
      </c>
      <c r="H182" s="4">
        <v>70.099999999999994</v>
      </c>
      <c r="I182" s="4">
        <v>80.5</v>
      </c>
      <c r="J182" s="4">
        <v>74.8</v>
      </c>
      <c r="K182" s="3">
        <v>2</v>
      </c>
      <c r="L182" s="3">
        <v>2</v>
      </c>
      <c r="M182" s="3">
        <v>0</v>
      </c>
      <c r="N182" s="3" t="s">
        <v>27</v>
      </c>
      <c r="O182" s="5">
        <v>0</v>
      </c>
      <c r="P182" s="3" t="s">
        <v>28</v>
      </c>
      <c r="Q182" s="6">
        <v>75.569999999999993</v>
      </c>
      <c r="R182" s="7" t="str">
        <f>IF(Q182&gt;=KPI!$E$4,"A",IF(Q182&gt;=KPI!$E$5,"B",IF(Q182&gt;=KPI!$E$6,"C",IF(Q182&gt;=KPI!$E$7,"D","F"))))</f>
        <v>B</v>
      </c>
      <c r="S182" s="7">
        <f t="shared" si="8"/>
        <v>1</v>
      </c>
      <c r="T182" s="6">
        <f t="shared" si="9"/>
        <v>77.650000000000006</v>
      </c>
      <c r="U182" s="7">
        <f>RANK(Q182,$Q$2:$Q$251,0)+COUNTIF($Q$2:Q182,Q182)-1</f>
        <v>126</v>
      </c>
      <c r="V182" s="3" t="str">
        <f t="shared" si="10"/>
        <v>STUDENT_181</v>
      </c>
      <c r="W182" s="3" t="str">
        <f t="shared" si="11"/>
        <v>181</v>
      </c>
    </row>
    <row r="183" spans="1:23" x14ac:dyDescent="0.3">
      <c r="A183" s="3" t="s">
        <v>396</v>
      </c>
      <c r="B183" s="3" t="s">
        <v>397</v>
      </c>
      <c r="C183" s="3" t="s">
        <v>43</v>
      </c>
      <c r="D183" s="3" t="s">
        <v>36</v>
      </c>
      <c r="E183" s="3">
        <v>8</v>
      </c>
      <c r="F183" s="4">
        <v>86.7</v>
      </c>
      <c r="G183" s="4">
        <v>4.9000000000000004</v>
      </c>
      <c r="H183" s="4">
        <v>75.7</v>
      </c>
      <c r="I183" s="4">
        <v>90.4</v>
      </c>
      <c r="J183" s="4">
        <v>88.2</v>
      </c>
      <c r="K183" s="3">
        <v>4</v>
      </c>
      <c r="L183" s="3">
        <v>2</v>
      </c>
      <c r="M183" s="3">
        <v>0</v>
      </c>
      <c r="N183" s="3" t="s">
        <v>27</v>
      </c>
      <c r="O183" s="5">
        <v>0</v>
      </c>
      <c r="P183" s="3" t="s">
        <v>28</v>
      </c>
      <c r="Q183" s="6">
        <v>86.36</v>
      </c>
      <c r="R183" s="7" t="str">
        <f>IF(Q183&gt;=KPI!$E$4,"A",IF(Q183&gt;=KPI!$E$5,"B",IF(Q183&gt;=KPI!$E$6,"C",IF(Q183&gt;=KPI!$E$7,"D","F"))))</f>
        <v>A</v>
      </c>
      <c r="S183" s="7">
        <f t="shared" si="8"/>
        <v>1</v>
      </c>
      <c r="T183" s="6">
        <f t="shared" si="9"/>
        <v>89.300000000000011</v>
      </c>
      <c r="U183" s="7">
        <f>RANK(Q183,$Q$2:$Q$251,0)+COUNTIF($Q$2:Q183,Q183)-1</f>
        <v>25</v>
      </c>
      <c r="V183" s="3" t="str">
        <f t="shared" si="10"/>
        <v>STUDENT_182</v>
      </c>
      <c r="W183" s="3" t="str">
        <f t="shared" si="11"/>
        <v>182</v>
      </c>
    </row>
    <row r="184" spans="1:23" x14ac:dyDescent="0.3">
      <c r="A184" s="3" t="s">
        <v>398</v>
      </c>
      <c r="B184" s="3" t="s">
        <v>399</v>
      </c>
      <c r="C184" s="3" t="s">
        <v>31</v>
      </c>
      <c r="D184" s="3" t="s">
        <v>36</v>
      </c>
      <c r="E184" s="3">
        <v>8</v>
      </c>
      <c r="F184" s="4">
        <v>74.8</v>
      </c>
      <c r="G184" s="4">
        <v>7</v>
      </c>
      <c r="H184" s="4">
        <v>61</v>
      </c>
      <c r="I184" s="4">
        <v>54.5</v>
      </c>
      <c r="J184" s="4">
        <v>70.099999999999994</v>
      </c>
      <c r="K184" s="3">
        <v>5</v>
      </c>
      <c r="L184" s="3">
        <v>0</v>
      </c>
      <c r="M184" s="3">
        <v>1</v>
      </c>
      <c r="N184" s="3" t="s">
        <v>27</v>
      </c>
      <c r="O184" s="5">
        <v>0</v>
      </c>
      <c r="P184" s="3" t="s">
        <v>32</v>
      </c>
      <c r="Q184" s="6">
        <v>63.6</v>
      </c>
      <c r="R184" s="7" t="str">
        <f>IF(Q184&gt;=KPI!$E$4,"A",IF(Q184&gt;=KPI!$E$5,"B",IF(Q184&gt;=KPI!$E$6,"C",IF(Q184&gt;=KPI!$E$7,"D","F"))))</f>
        <v>D</v>
      </c>
      <c r="S184" s="7">
        <f t="shared" si="8"/>
        <v>0</v>
      </c>
      <c r="T184" s="6">
        <f t="shared" si="9"/>
        <v>62.3</v>
      </c>
      <c r="U184" s="7">
        <f>RANK(Q184,$Q$2:$Q$251,0)+COUNTIF($Q$2:Q184,Q184)-1</f>
        <v>226</v>
      </c>
      <c r="V184" s="3" t="str">
        <f t="shared" si="10"/>
        <v>STUDENT_183</v>
      </c>
      <c r="W184" s="3" t="str">
        <f t="shared" si="11"/>
        <v>183</v>
      </c>
    </row>
    <row r="185" spans="1:23" x14ac:dyDescent="0.3">
      <c r="A185" s="3" t="s">
        <v>400</v>
      </c>
      <c r="B185" s="3" t="s">
        <v>401</v>
      </c>
      <c r="C185" s="3" t="s">
        <v>31</v>
      </c>
      <c r="D185" s="3" t="s">
        <v>26</v>
      </c>
      <c r="E185" s="3">
        <v>4</v>
      </c>
      <c r="F185" s="4">
        <v>80.5</v>
      </c>
      <c r="G185" s="4">
        <v>2.2000000000000002</v>
      </c>
      <c r="H185" s="4">
        <v>56.1</v>
      </c>
      <c r="I185" s="4">
        <v>65</v>
      </c>
      <c r="J185" s="4">
        <v>65.5</v>
      </c>
      <c r="K185" s="3">
        <v>4</v>
      </c>
      <c r="L185" s="3">
        <v>2</v>
      </c>
      <c r="M185" s="3">
        <v>1</v>
      </c>
      <c r="N185" s="3" t="s">
        <v>37</v>
      </c>
      <c r="O185" s="5">
        <v>7258</v>
      </c>
      <c r="P185" s="3" t="s">
        <v>28</v>
      </c>
      <c r="Q185" s="6">
        <v>63.47</v>
      </c>
      <c r="R185" s="7" t="str">
        <f>IF(Q185&gt;=KPI!$E$4,"A",IF(Q185&gt;=KPI!$E$5,"B",IF(Q185&gt;=KPI!$E$6,"C",IF(Q185&gt;=KPI!$E$7,"D","F"))))</f>
        <v>D</v>
      </c>
      <c r="S185" s="7">
        <f t="shared" si="8"/>
        <v>1</v>
      </c>
      <c r="T185" s="6">
        <f t="shared" si="9"/>
        <v>65.25</v>
      </c>
      <c r="U185" s="7">
        <f>RANK(Q185,$Q$2:$Q$251,0)+COUNTIF($Q$2:Q185,Q185)-1</f>
        <v>227</v>
      </c>
      <c r="V185" s="3" t="str">
        <f t="shared" si="10"/>
        <v>STUDENT_184</v>
      </c>
      <c r="W185" s="3" t="str">
        <f t="shared" si="11"/>
        <v>184</v>
      </c>
    </row>
    <row r="186" spans="1:23" x14ac:dyDescent="0.3">
      <c r="A186" s="3" t="s">
        <v>402</v>
      </c>
      <c r="B186" s="3" t="s">
        <v>403</v>
      </c>
      <c r="C186" s="3" t="s">
        <v>43</v>
      </c>
      <c r="D186" s="3" t="s">
        <v>26</v>
      </c>
      <c r="E186" s="3">
        <v>8</v>
      </c>
      <c r="F186" s="4">
        <v>82</v>
      </c>
      <c r="G186" s="4">
        <v>5.0999999999999996</v>
      </c>
      <c r="H186" s="4">
        <v>94.8</v>
      </c>
      <c r="I186" s="4">
        <v>75.900000000000006</v>
      </c>
      <c r="J186" s="4">
        <v>88.1</v>
      </c>
      <c r="K186" s="3">
        <v>0</v>
      </c>
      <c r="L186" s="3">
        <v>1</v>
      </c>
      <c r="M186" s="3">
        <v>0</v>
      </c>
      <c r="N186" s="3" t="s">
        <v>27</v>
      </c>
      <c r="O186" s="5">
        <v>0</v>
      </c>
      <c r="P186" s="3" t="s">
        <v>32</v>
      </c>
      <c r="Q186" s="6">
        <v>85.78</v>
      </c>
      <c r="R186" s="7" t="str">
        <f>IF(Q186&gt;=KPI!$E$4,"A",IF(Q186&gt;=KPI!$E$5,"B",IF(Q186&gt;=KPI!$E$6,"C",IF(Q186&gt;=KPI!$E$7,"D","F"))))</f>
        <v>A</v>
      </c>
      <c r="S186" s="7">
        <f t="shared" si="8"/>
        <v>0</v>
      </c>
      <c r="T186" s="6">
        <f t="shared" si="9"/>
        <v>82</v>
      </c>
      <c r="U186" s="7">
        <f>RANK(Q186,$Q$2:$Q$251,0)+COUNTIF($Q$2:Q186,Q186)-1</f>
        <v>29</v>
      </c>
      <c r="V186" s="3" t="str">
        <f t="shared" si="10"/>
        <v>STUDENT_185</v>
      </c>
      <c r="W186" s="3" t="str">
        <f t="shared" si="11"/>
        <v>185</v>
      </c>
    </row>
    <row r="187" spans="1:23" x14ac:dyDescent="0.3">
      <c r="A187" s="3" t="s">
        <v>404</v>
      </c>
      <c r="B187" s="3" t="s">
        <v>405</v>
      </c>
      <c r="C187" s="3" t="s">
        <v>40</v>
      </c>
      <c r="D187" s="3" t="s">
        <v>36</v>
      </c>
      <c r="E187" s="3">
        <v>4</v>
      </c>
      <c r="F187" s="4">
        <v>83.4</v>
      </c>
      <c r="G187" s="4">
        <v>5.5</v>
      </c>
      <c r="H187" s="4">
        <v>52.3</v>
      </c>
      <c r="I187" s="4">
        <v>59</v>
      </c>
      <c r="J187" s="4">
        <v>67.3</v>
      </c>
      <c r="K187" s="3">
        <v>3</v>
      </c>
      <c r="L187" s="3">
        <v>0</v>
      </c>
      <c r="M187" s="3">
        <v>1</v>
      </c>
      <c r="N187" s="3" t="s">
        <v>37</v>
      </c>
      <c r="O187" s="5">
        <v>6817</v>
      </c>
      <c r="P187" s="3" t="s">
        <v>32</v>
      </c>
      <c r="Q187" s="6">
        <v>61.81</v>
      </c>
      <c r="R187" s="7" t="str">
        <f>IF(Q187&gt;=KPI!$E$4,"A",IF(Q187&gt;=KPI!$E$5,"B",IF(Q187&gt;=KPI!$E$6,"C",IF(Q187&gt;=KPI!$E$7,"D","F"))))</f>
        <v>D</v>
      </c>
      <c r="S187" s="7">
        <f t="shared" si="8"/>
        <v>0</v>
      </c>
      <c r="T187" s="6">
        <f t="shared" si="9"/>
        <v>63.15</v>
      </c>
      <c r="U187" s="7">
        <f>RANK(Q187,$Q$2:$Q$251,0)+COUNTIF($Q$2:Q187,Q187)-1</f>
        <v>233</v>
      </c>
      <c r="V187" s="3" t="str">
        <f t="shared" si="10"/>
        <v>STUDENT_186</v>
      </c>
      <c r="W187" s="3" t="str">
        <f t="shared" si="11"/>
        <v>186</v>
      </c>
    </row>
    <row r="188" spans="1:23" x14ac:dyDescent="0.3">
      <c r="A188" s="3" t="s">
        <v>406</v>
      </c>
      <c r="B188" s="3" t="s">
        <v>407</v>
      </c>
      <c r="C188" s="3" t="s">
        <v>35</v>
      </c>
      <c r="D188" s="3" t="s">
        <v>26</v>
      </c>
      <c r="E188" s="3">
        <v>8</v>
      </c>
      <c r="F188" s="4">
        <v>75.900000000000006</v>
      </c>
      <c r="G188" s="4">
        <v>4.5</v>
      </c>
      <c r="H188" s="4">
        <v>100</v>
      </c>
      <c r="I188" s="4">
        <v>81</v>
      </c>
      <c r="J188" s="4">
        <v>87.5</v>
      </c>
      <c r="K188" s="3">
        <v>2</v>
      </c>
      <c r="L188" s="3">
        <v>2</v>
      </c>
      <c r="M188" s="3">
        <v>0</v>
      </c>
      <c r="N188" s="3" t="s">
        <v>27</v>
      </c>
      <c r="O188" s="5">
        <v>0</v>
      </c>
      <c r="P188" s="3" t="s">
        <v>28</v>
      </c>
      <c r="Q188" s="6">
        <v>88.05</v>
      </c>
      <c r="R188" s="7" t="str">
        <f>IF(Q188&gt;=KPI!$E$4,"A",IF(Q188&gt;=KPI!$E$5,"B",IF(Q188&gt;=KPI!$E$6,"C",IF(Q188&gt;=KPI!$E$7,"D","F"))))</f>
        <v>A</v>
      </c>
      <c r="S188" s="7">
        <f t="shared" si="8"/>
        <v>1</v>
      </c>
      <c r="T188" s="6">
        <f t="shared" si="9"/>
        <v>84.25</v>
      </c>
      <c r="U188" s="7">
        <f>RANK(Q188,$Q$2:$Q$251,0)+COUNTIF($Q$2:Q188,Q188)-1</f>
        <v>15</v>
      </c>
      <c r="V188" s="3" t="str">
        <f t="shared" si="10"/>
        <v>STUDENT_187</v>
      </c>
      <c r="W188" s="3" t="str">
        <f t="shared" si="11"/>
        <v>187</v>
      </c>
    </row>
    <row r="189" spans="1:23" x14ac:dyDescent="0.3">
      <c r="A189" s="3" t="s">
        <v>408</v>
      </c>
      <c r="B189" s="3" t="s">
        <v>409</v>
      </c>
      <c r="C189" s="3" t="s">
        <v>40</v>
      </c>
      <c r="D189" s="3" t="s">
        <v>36</v>
      </c>
      <c r="E189" s="3">
        <v>1</v>
      </c>
      <c r="F189" s="4">
        <v>83.3</v>
      </c>
      <c r="G189" s="4">
        <v>4.0999999999999996</v>
      </c>
      <c r="H189" s="4">
        <v>85.4</v>
      </c>
      <c r="I189" s="4">
        <v>89.1</v>
      </c>
      <c r="J189" s="4">
        <v>86</v>
      </c>
      <c r="K189" s="3">
        <v>3</v>
      </c>
      <c r="L189" s="3">
        <v>4</v>
      </c>
      <c r="M189" s="3">
        <v>1</v>
      </c>
      <c r="N189" s="3" t="s">
        <v>27</v>
      </c>
      <c r="O189" s="5">
        <v>0</v>
      </c>
      <c r="P189" s="3" t="s">
        <v>28</v>
      </c>
      <c r="Q189" s="6">
        <v>86.81</v>
      </c>
      <c r="R189" s="7" t="str">
        <f>IF(Q189&gt;=KPI!$E$4,"A",IF(Q189&gt;=KPI!$E$5,"B",IF(Q189&gt;=KPI!$E$6,"C",IF(Q189&gt;=KPI!$E$7,"D","F"))))</f>
        <v>A</v>
      </c>
      <c r="S189" s="7">
        <f t="shared" si="8"/>
        <v>1</v>
      </c>
      <c r="T189" s="6">
        <f t="shared" si="9"/>
        <v>87.55</v>
      </c>
      <c r="U189" s="7">
        <f>RANK(Q189,$Q$2:$Q$251,0)+COUNTIF($Q$2:Q189,Q189)-1</f>
        <v>23</v>
      </c>
      <c r="V189" s="3" t="str">
        <f t="shared" si="10"/>
        <v>STUDENT_188</v>
      </c>
      <c r="W189" s="3" t="str">
        <f t="shared" si="11"/>
        <v>188</v>
      </c>
    </row>
    <row r="190" spans="1:23" x14ac:dyDescent="0.3">
      <c r="A190" s="3" t="s">
        <v>410</v>
      </c>
      <c r="B190" s="3" t="s">
        <v>411</v>
      </c>
      <c r="C190" s="3" t="s">
        <v>40</v>
      </c>
      <c r="D190" s="3" t="s">
        <v>36</v>
      </c>
      <c r="E190" s="3">
        <v>3</v>
      </c>
      <c r="F190" s="4">
        <v>75</v>
      </c>
      <c r="G190" s="4">
        <v>4.0999999999999996</v>
      </c>
      <c r="H190" s="4">
        <v>84.8</v>
      </c>
      <c r="I190" s="4">
        <v>63.8</v>
      </c>
      <c r="J190" s="4">
        <v>81.2</v>
      </c>
      <c r="K190" s="3">
        <v>4</v>
      </c>
      <c r="L190" s="3">
        <v>2</v>
      </c>
      <c r="M190" s="3">
        <v>0</v>
      </c>
      <c r="N190" s="3" t="s">
        <v>27</v>
      </c>
      <c r="O190" s="5">
        <v>0</v>
      </c>
      <c r="P190" s="3" t="s">
        <v>28</v>
      </c>
      <c r="Q190" s="6">
        <v>76.7</v>
      </c>
      <c r="R190" s="7" t="str">
        <f>IF(Q190&gt;=KPI!$E$4,"A",IF(Q190&gt;=KPI!$E$5,"B",IF(Q190&gt;=KPI!$E$6,"C",IF(Q190&gt;=KPI!$E$7,"D","F"))))</f>
        <v>B</v>
      </c>
      <c r="S190" s="7">
        <f t="shared" si="8"/>
        <v>1</v>
      </c>
      <c r="T190" s="6">
        <f t="shared" si="9"/>
        <v>72.5</v>
      </c>
      <c r="U190" s="7">
        <f>RANK(Q190,$Q$2:$Q$251,0)+COUNTIF($Q$2:Q190,Q190)-1</f>
        <v>113</v>
      </c>
      <c r="V190" s="3" t="str">
        <f t="shared" si="10"/>
        <v>STUDENT_189</v>
      </c>
      <c r="W190" s="3" t="str">
        <f t="shared" si="11"/>
        <v>189</v>
      </c>
    </row>
    <row r="191" spans="1:23" x14ac:dyDescent="0.3">
      <c r="A191" s="3" t="s">
        <v>412</v>
      </c>
      <c r="B191" s="3" t="s">
        <v>413</v>
      </c>
      <c r="C191" s="3" t="s">
        <v>43</v>
      </c>
      <c r="D191" s="3" t="s">
        <v>26</v>
      </c>
      <c r="E191" s="3">
        <v>8</v>
      </c>
      <c r="F191" s="4">
        <v>88.1</v>
      </c>
      <c r="G191" s="4">
        <v>5.0999999999999996</v>
      </c>
      <c r="H191" s="4">
        <v>83.5</v>
      </c>
      <c r="I191" s="4">
        <v>72.5</v>
      </c>
      <c r="J191" s="4">
        <v>91.3</v>
      </c>
      <c r="K191" s="3">
        <v>4</v>
      </c>
      <c r="L191" s="3">
        <v>1</v>
      </c>
      <c r="M191" s="3">
        <v>2</v>
      </c>
      <c r="N191" s="3" t="s">
        <v>37</v>
      </c>
      <c r="O191" s="5">
        <v>18458</v>
      </c>
      <c r="P191" s="3" t="s">
        <v>28</v>
      </c>
      <c r="Q191" s="6">
        <v>84.1</v>
      </c>
      <c r="R191" s="7" t="str">
        <f>IF(Q191&gt;=KPI!$E$4,"A",IF(Q191&gt;=KPI!$E$5,"B",IF(Q191&gt;=KPI!$E$6,"C",IF(Q191&gt;=KPI!$E$7,"D","F"))))</f>
        <v>B</v>
      </c>
      <c r="S191" s="7">
        <f t="shared" si="8"/>
        <v>1</v>
      </c>
      <c r="T191" s="6">
        <f t="shared" si="9"/>
        <v>81.900000000000006</v>
      </c>
      <c r="U191" s="7">
        <f>RANK(Q191,$Q$2:$Q$251,0)+COUNTIF($Q$2:Q191,Q191)-1</f>
        <v>41</v>
      </c>
      <c r="V191" s="3" t="str">
        <f t="shared" si="10"/>
        <v>STUDENT_190</v>
      </c>
      <c r="W191" s="3" t="str">
        <f t="shared" si="11"/>
        <v>190</v>
      </c>
    </row>
    <row r="192" spans="1:23" x14ac:dyDescent="0.3">
      <c r="A192" s="3" t="s">
        <v>414</v>
      </c>
      <c r="B192" s="3" t="s">
        <v>415</v>
      </c>
      <c r="C192" s="3" t="s">
        <v>43</v>
      </c>
      <c r="D192" s="3" t="s">
        <v>26</v>
      </c>
      <c r="E192" s="3">
        <v>3</v>
      </c>
      <c r="F192" s="4">
        <v>81</v>
      </c>
      <c r="G192" s="4">
        <v>1.5</v>
      </c>
      <c r="H192" s="4">
        <v>72.7</v>
      </c>
      <c r="I192" s="4">
        <v>92.4</v>
      </c>
      <c r="J192" s="4">
        <v>70.599999999999994</v>
      </c>
      <c r="K192" s="3">
        <v>4</v>
      </c>
      <c r="L192" s="3">
        <v>3</v>
      </c>
      <c r="M192" s="3">
        <v>2</v>
      </c>
      <c r="N192" s="3" t="s">
        <v>27</v>
      </c>
      <c r="O192" s="5">
        <v>0</v>
      </c>
      <c r="P192" s="3" t="s">
        <v>28</v>
      </c>
      <c r="Q192" s="6">
        <v>77.56</v>
      </c>
      <c r="R192" s="7" t="str">
        <f>IF(Q192&gt;=KPI!$E$4,"A",IF(Q192&gt;=KPI!$E$5,"B",IF(Q192&gt;=KPI!$E$6,"C",IF(Q192&gt;=KPI!$E$7,"D","F"))))</f>
        <v>B</v>
      </c>
      <c r="S192" s="7">
        <f t="shared" si="8"/>
        <v>1</v>
      </c>
      <c r="T192" s="6">
        <f t="shared" si="9"/>
        <v>81.5</v>
      </c>
      <c r="U192" s="7">
        <f>RANK(Q192,$Q$2:$Q$251,0)+COUNTIF($Q$2:Q192,Q192)-1</f>
        <v>103</v>
      </c>
      <c r="V192" s="3" t="str">
        <f t="shared" si="10"/>
        <v>STUDENT_191</v>
      </c>
      <c r="W192" s="3" t="str">
        <f t="shared" si="11"/>
        <v>191</v>
      </c>
    </row>
    <row r="193" spans="1:23" x14ac:dyDescent="0.3">
      <c r="A193" s="3" t="s">
        <v>416</v>
      </c>
      <c r="B193" s="3" t="s">
        <v>417</v>
      </c>
      <c r="C193" s="3" t="s">
        <v>31</v>
      </c>
      <c r="D193" s="3" t="s">
        <v>36</v>
      </c>
      <c r="E193" s="3">
        <v>3</v>
      </c>
      <c r="F193" s="4">
        <v>83.4</v>
      </c>
      <c r="G193" s="4">
        <v>6.5</v>
      </c>
      <c r="H193" s="4">
        <v>81.099999999999994</v>
      </c>
      <c r="I193" s="4">
        <v>97.2</v>
      </c>
      <c r="J193" s="4">
        <v>91.9</v>
      </c>
      <c r="K193" s="3">
        <v>3</v>
      </c>
      <c r="L193" s="3">
        <v>2</v>
      </c>
      <c r="M193" s="3">
        <v>0</v>
      </c>
      <c r="N193" s="3" t="s">
        <v>27</v>
      </c>
      <c r="O193" s="5">
        <v>0</v>
      </c>
      <c r="P193" s="3" t="s">
        <v>28</v>
      </c>
      <c r="Q193" s="6">
        <v>91.33</v>
      </c>
      <c r="R193" s="7" t="str">
        <f>IF(Q193&gt;=KPI!$E$4,"A",IF(Q193&gt;=KPI!$E$5,"B",IF(Q193&gt;=KPI!$E$6,"C",IF(Q193&gt;=KPI!$E$7,"D","F"))))</f>
        <v>A</v>
      </c>
      <c r="S193" s="7">
        <f t="shared" si="8"/>
        <v>1</v>
      </c>
      <c r="T193" s="6">
        <f t="shared" si="9"/>
        <v>94.550000000000011</v>
      </c>
      <c r="U193" s="7">
        <f>RANK(Q193,$Q$2:$Q$251,0)+COUNTIF($Q$2:Q193,Q193)-1</f>
        <v>5</v>
      </c>
      <c r="V193" s="3" t="str">
        <f t="shared" si="10"/>
        <v>STUDENT_192</v>
      </c>
      <c r="W193" s="3" t="str">
        <f t="shared" si="11"/>
        <v>192</v>
      </c>
    </row>
    <row r="194" spans="1:23" x14ac:dyDescent="0.3">
      <c r="A194" s="3" t="s">
        <v>418</v>
      </c>
      <c r="B194" s="3" t="s">
        <v>419</v>
      </c>
      <c r="C194" s="3" t="s">
        <v>31</v>
      </c>
      <c r="D194" s="3" t="s">
        <v>26</v>
      </c>
      <c r="E194" s="3">
        <v>5</v>
      </c>
      <c r="F194" s="4">
        <v>100</v>
      </c>
      <c r="G194" s="4">
        <v>3.9</v>
      </c>
      <c r="H194" s="4">
        <v>73.5</v>
      </c>
      <c r="I194" s="4">
        <v>82.4</v>
      </c>
      <c r="J194" s="4">
        <v>83.5</v>
      </c>
      <c r="K194" s="3">
        <v>4</v>
      </c>
      <c r="L194" s="3">
        <v>3</v>
      </c>
      <c r="M194" s="3">
        <v>0</v>
      </c>
      <c r="N194" s="3" t="s">
        <v>27</v>
      </c>
      <c r="O194" s="5">
        <v>0</v>
      </c>
      <c r="P194" s="3" t="s">
        <v>28</v>
      </c>
      <c r="Q194" s="6">
        <v>81.17</v>
      </c>
      <c r="R194" s="7" t="str">
        <f>IF(Q194&gt;=KPI!$E$4,"A",IF(Q194&gt;=KPI!$E$5,"B",IF(Q194&gt;=KPI!$E$6,"C",IF(Q194&gt;=KPI!$E$7,"D","F"))))</f>
        <v>B</v>
      </c>
      <c r="S194" s="7">
        <f t="shared" ref="S194:S251" si="12">IF(P194="Placed",1,0)</f>
        <v>1</v>
      </c>
      <c r="T194" s="6">
        <f t="shared" ref="T194:T251" si="13">IFERROR(AVERAGE(I194:J194),0)</f>
        <v>82.95</v>
      </c>
      <c r="U194" s="7">
        <f>RANK(Q194,$Q$2:$Q$251,0)+COUNTIF($Q$2:Q194,Q194)-1</f>
        <v>70</v>
      </c>
      <c r="V194" s="3" t="str">
        <f t="shared" ref="V194:V251" si="14">UPPER(B194)</f>
        <v>STUDENT_193</v>
      </c>
      <c r="W194" s="3" t="str">
        <f t="shared" ref="W194:W251" si="15">IFERROR(MID(B194,FIND("_",B194)+1,LEN(B194)),B194)</f>
        <v>193</v>
      </c>
    </row>
    <row r="195" spans="1:23" x14ac:dyDescent="0.3">
      <c r="A195" s="3" t="s">
        <v>420</v>
      </c>
      <c r="B195" s="3" t="s">
        <v>421</v>
      </c>
      <c r="C195" s="3" t="s">
        <v>40</v>
      </c>
      <c r="D195" s="3" t="s">
        <v>26</v>
      </c>
      <c r="E195" s="3">
        <v>8</v>
      </c>
      <c r="F195" s="4">
        <v>72</v>
      </c>
      <c r="G195" s="4">
        <v>5</v>
      </c>
      <c r="H195" s="4">
        <v>83.2</v>
      </c>
      <c r="I195" s="4">
        <v>80.3</v>
      </c>
      <c r="J195" s="4">
        <v>79.5</v>
      </c>
      <c r="K195" s="3">
        <v>0</v>
      </c>
      <c r="L195" s="3">
        <v>4</v>
      </c>
      <c r="M195" s="3">
        <v>4</v>
      </c>
      <c r="N195" s="3" t="s">
        <v>27</v>
      </c>
      <c r="O195" s="5">
        <v>0</v>
      </c>
      <c r="P195" s="3" t="s">
        <v>28</v>
      </c>
      <c r="Q195" s="6">
        <v>80.48</v>
      </c>
      <c r="R195" s="7" t="str">
        <f>IF(Q195&gt;=KPI!$E$4,"A",IF(Q195&gt;=KPI!$E$5,"B",IF(Q195&gt;=KPI!$E$6,"C",IF(Q195&gt;=KPI!$E$7,"D","F"))))</f>
        <v>B</v>
      </c>
      <c r="S195" s="7">
        <f t="shared" si="12"/>
        <v>1</v>
      </c>
      <c r="T195" s="6">
        <f t="shared" si="13"/>
        <v>79.900000000000006</v>
      </c>
      <c r="U195" s="7">
        <f>RANK(Q195,$Q$2:$Q$251,0)+COUNTIF($Q$2:Q195,Q195)-1</f>
        <v>77</v>
      </c>
      <c r="V195" s="3" t="str">
        <f t="shared" si="14"/>
        <v>STUDENT_194</v>
      </c>
      <c r="W195" s="3" t="str">
        <f t="shared" si="15"/>
        <v>194</v>
      </c>
    </row>
    <row r="196" spans="1:23" x14ac:dyDescent="0.3">
      <c r="A196" s="3" t="s">
        <v>422</v>
      </c>
      <c r="B196" s="3" t="s">
        <v>423</v>
      </c>
      <c r="C196" s="3" t="s">
        <v>25</v>
      </c>
      <c r="D196" s="3" t="s">
        <v>36</v>
      </c>
      <c r="E196" s="3">
        <v>2</v>
      </c>
      <c r="F196" s="4">
        <v>94.5</v>
      </c>
      <c r="G196" s="4">
        <v>5.5</v>
      </c>
      <c r="H196" s="4">
        <v>75.599999999999994</v>
      </c>
      <c r="I196" s="4">
        <v>60</v>
      </c>
      <c r="J196" s="4">
        <v>88.4</v>
      </c>
      <c r="K196" s="3">
        <v>4</v>
      </c>
      <c r="L196" s="3">
        <v>2</v>
      </c>
      <c r="M196" s="3">
        <v>0</v>
      </c>
      <c r="N196" s="3" t="s">
        <v>37</v>
      </c>
      <c r="O196" s="5">
        <v>14659</v>
      </c>
      <c r="P196" s="3" t="s">
        <v>28</v>
      </c>
      <c r="Q196" s="6">
        <v>77.319999999999993</v>
      </c>
      <c r="R196" s="7" t="str">
        <f>IF(Q196&gt;=KPI!$E$4,"A",IF(Q196&gt;=KPI!$E$5,"B",IF(Q196&gt;=KPI!$E$6,"C",IF(Q196&gt;=KPI!$E$7,"D","F"))))</f>
        <v>B</v>
      </c>
      <c r="S196" s="7">
        <f t="shared" si="12"/>
        <v>1</v>
      </c>
      <c r="T196" s="6">
        <f t="shared" si="13"/>
        <v>74.2</v>
      </c>
      <c r="U196" s="7">
        <f>RANK(Q196,$Q$2:$Q$251,0)+COUNTIF($Q$2:Q196,Q196)-1</f>
        <v>105</v>
      </c>
      <c r="V196" s="3" t="str">
        <f t="shared" si="14"/>
        <v>STUDENT_195</v>
      </c>
      <c r="W196" s="3" t="str">
        <f t="shared" si="15"/>
        <v>195</v>
      </c>
    </row>
    <row r="197" spans="1:23" x14ac:dyDescent="0.3">
      <c r="A197" s="3" t="s">
        <v>424</v>
      </c>
      <c r="B197" s="3" t="s">
        <v>425</v>
      </c>
      <c r="C197" s="3" t="s">
        <v>25</v>
      </c>
      <c r="D197" s="3" t="s">
        <v>36</v>
      </c>
      <c r="E197" s="3">
        <v>5</v>
      </c>
      <c r="F197" s="4">
        <v>58.1</v>
      </c>
      <c r="G197" s="4">
        <v>3.9</v>
      </c>
      <c r="H197" s="4">
        <v>63.6</v>
      </c>
      <c r="I197" s="4">
        <v>77</v>
      </c>
      <c r="J197" s="4">
        <v>71.5</v>
      </c>
      <c r="K197" s="3">
        <v>1</v>
      </c>
      <c r="L197" s="3">
        <v>0</v>
      </c>
      <c r="M197" s="3">
        <v>2</v>
      </c>
      <c r="N197" s="3" t="s">
        <v>27</v>
      </c>
      <c r="O197" s="5">
        <v>0</v>
      </c>
      <c r="P197" s="3" t="s">
        <v>32</v>
      </c>
      <c r="Q197" s="6">
        <v>71.569999999999993</v>
      </c>
      <c r="R197" s="7" t="str">
        <f>IF(Q197&gt;=KPI!$E$4,"A",IF(Q197&gt;=KPI!$E$5,"B",IF(Q197&gt;=KPI!$E$6,"C",IF(Q197&gt;=KPI!$E$7,"D","F"))))</f>
        <v>C</v>
      </c>
      <c r="S197" s="7">
        <f t="shared" si="12"/>
        <v>0</v>
      </c>
      <c r="T197" s="6">
        <f t="shared" si="13"/>
        <v>74.25</v>
      </c>
      <c r="U197" s="7">
        <f>RANK(Q197,$Q$2:$Q$251,0)+COUNTIF($Q$2:Q197,Q197)-1</f>
        <v>167</v>
      </c>
      <c r="V197" s="3" t="str">
        <f t="shared" si="14"/>
        <v>STUDENT_196</v>
      </c>
      <c r="W197" s="3" t="str">
        <f t="shared" si="15"/>
        <v>196</v>
      </c>
    </row>
    <row r="198" spans="1:23" x14ac:dyDescent="0.3">
      <c r="A198" s="3" t="s">
        <v>426</v>
      </c>
      <c r="B198" s="3" t="s">
        <v>427</v>
      </c>
      <c r="C198" s="3" t="s">
        <v>35</v>
      </c>
      <c r="D198" s="3" t="s">
        <v>36</v>
      </c>
      <c r="E198" s="3">
        <v>2</v>
      </c>
      <c r="F198" s="4">
        <v>63.3</v>
      </c>
      <c r="G198" s="4">
        <v>4.5999999999999996</v>
      </c>
      <c r="H198" s="4">
        <v>64.7</v>
      </c>
      <c r="I198" s="4">
        <v>79.8</v>
      </c>
      <c r="J198" s="4">
        <v>68.3</v>
      </c>
      <c r="K198" s="3">
        <v>3</v>
      </c>
      <c r="L198" s="3">
        <v>3</v>
      </c>
      <c r="M198" s="3">
        <v>0</v>
      </c>
      <c r="N198" s="3" t="s">
        <v>27</v>
      </c>
      <c r="O198" s="5">
        <v>0</v>
      </c>
      <c r="P198" s="3" t="s">
        <v>32</v>
      </c>
      <c r="Q198" s="6">
        <v>71.03</v>
      </c>
      <c r="R198" s="7" t="str">
        <f>IF(Q198&gt;=KPI!$E$4,"A",IF(Q198&gt;=KPI!$E$5,"B",IF(Q198&gt;=KPI!$E$6,"C",IF(Q198&gt;=KPI!$E$7,"D","F"))))</f>
        <v>C</v>
      </c>
      <c r="S198" s="7">
        <f t="shared" si="12"/>
        <v>0</v>
      </c>
      <c r="T198" s="6">
        <f t="shared" si="13"/>
        <v>74.05</v>
      </c>
      <c r="U198" s="7">
        <f>RANK(Q198,$Q$2:$Q$251,0)+COUNTIF($Q$2:Q198,Q198)-1</f>
        <v>174</v>
      </c>
      <c r="V198" s="3" t="str">
        <f t="shared" si="14"/>
        <v>STUDENT_197</v>
      </c>
      <c r="W198" s="3" t="str">
        <f t="shared" si="15"/>
        <v>197</v>
      </c>
    </row>
    <row r="199" spans="1:23" x14ac:dyDescent="0.3">
      <c r="A199" s="3" t="s">
        <v>428</v>
      </c>
      <c r="B199" s="3" t="s">
        <v>429</v>
      </c>
      <c r="C199" s="3" t="s">
        <v>31</v>
      </c>
      <c r="D199" s="3" t="s">
        <v>36</v>
      </c>
      <c r="E199" s="3">
        <v>3</v>
      </c>
      <c r="F199" s="4">
        <v>70.8</v>
      </c>
      <c r="G199" s="4">
        <v>1.1000000000000001</v>
      </c>
      <c r="H199" s="4">
        <v>63.2</v>
      </c>
      <c r="I199" s="4">
        <v>69.099999999999994</v>
      </c>
      <c r="J199" s="4">
        <v>67.400000000000006</v>
      </c>
      <c r="K199" s="3">
        <v>1</v>
      </c>
      <c r="L199" s="3">
        <v>4</v>
      </c>
      <c r="M199" s="3">
        <v>1</v>
      </c>
      <c r="N199" s="3" t="s">
        <v>37</v>
      </c>
      <c r="O199" s="5">
        <v>9738</v>
      </c>
      <c r="P199" s="3" t="s">
        <v>32</v>
      </c>
      <c r="Q199" s="6">
        <v>67.069999999999993</v>
      </c>
      <c r="R199" s="7" t="str">
        <f>IF(Q199&gt;=KPI!$E$4,"A",IF(Q199&gt;=KPI!$E$5,"B",IF(Q199&gt;=KPI!$E$6,"C",IF(Q199&gt;=KPI!$E$7,"D","F"))))</f>
        <v>C</v>
      </c>
      <c r="S199" s="7">
        <f t="shared" si="12"/>
        <v>0</v>
      </c>
      <c r="T199" s="6">
        <f t="shared" si="13"/>
        <v>68.25</v>
      </c>
      <c r="U199" s="7">
        <f>RANK(Q199,$Q$2:$Q$251,0)+COUNTIF($Q$2:Q199,Q199)-1</f>
        <v>204</v>
      </c>
      <c r="V199" s="3" t="str">
        <f t="shared" si="14"/>
        <v>STUDENT_198</v>
      </c>
      <c r="W199" s="3" t="str">
        <f t="shared" si="15"/>
        <v>198</v>
      </c>
    </row>
    <row r="200" spans="1:23" x14ac:dyDescent="0.3">
      <c r="A200" s="3" t="s">
        <v>430</v>
      </c>
      <c r="B200" s="3" t="s">
        <v>431</v>
      </c>
      <c r="C200" s="3" t="s">
        <v>31</v>
      </c>
      <c r="D200" s="3" t="s">
        <v>26</v>
      </c>
      <c r="E200" s="3">
        <v>3</v>
      </c>
      <c r="F200" s="4">
        <v>71.400000000000006</v>
      </c>
      <c r="G200" s="4">
        <v>6.1</v>
      </c>
      <c r="H200" s="4">
        <v>88.6</v>
      </c>
      <c r="I200" s="4">
        <v>63.7</v>
      </c>
      <c r="J200" s="4">
        <v>79.2</v>
      </c>
      <c r="K200" s="3">
        <v>4</v>
      </c>
      <c r="L200" s="3">
        <v>0</v>
      </c>
      <c r="M200" s="3">
        <v>1</v>
      </c>
      <c r="N200" s="3" t="s">
        <v>37</v>
      </c>
      <c r="O200" s="5">
        <v>9668</v>
      </c>
      <c r="P200" s="3" t="s">
        <v>28</v>
      </c>
      <c r="Q200" s="6">
        <v>76.430000000000007</v>
      </c>
      <c r="R200" s="7" t="str">
        <f>IF(Q200&gt;=KPI!$E$4,"A",IF(Q200&gt;=KPI!$E$5,"B",IF(Q200&gt;=KPI!$E$6,"C",IF(Q200&gt;=KPI!$E$7,"D","F"))))</f>
        <v>B</v>
      </c>
      <c r="S200" s="7">
        <f t="shared" si="12"/>
        <v>1</v>
      </c>
      <c r="T200" s="6">
        <f t="shared" si="13"/>
        <v>71.45</v>
      </c>
      <c r="U200" s="7">
        <f>RANK(Q200,$Q$2:$Q$251,0)+COUNTIF($Q$2:Q200,Q200)-1</f>
        <v>118</v>
      </c>
      <c r="V200" s="3" t="str">
        <f t="shared" si="14"/>
        <v>STUDENT_199</v>
      </c>
      <c r="W200" s="3" t="str">
        <f t="shared" si="15"/>
        <v>199</v>
      </c>
    </row>
    <row r="201" spans="1:23" x14ac:dyDescent="0.3">
      <c r="A201" s="3" t="s">
        <v>432</v>
      </c>
      <c r="B201" s="3" t="s">
        <v>433</v>
      </c>
      <c r="C201" s="3" t="s">
        <v>35</v>
      </c>
      <c r="D201" s="3" t="s">
        <v>26</v>
      </c>
      <c r="E201" s="3">
        <v>5</v>
      </c>
      <c r="F201" s="4">
        <v>83.8</v>
      </c>
      <c r="G201" s="4">
        <v>6.7</v>
      </c>
      <c r="H201" s="4">
        <v>68</v>
      </c>
      <c r="I201" s="4">
        <v>54.1</v>
      </c>
      <c r="J201" s="4">
        <v>73.599999999999994</v>
      </c>
      <c r="K201" s="3">
        <v>0</v>
      </c>
      <c r="L201" s="3">
        <v>0</v>
      </c>
      <c r="M201" s="3">
        <v>3</v>
      </c>
      <c r="N201" s="3" t="s">
        <v>27</v>
      </c>
      <c r="O201" s="5">
        <v>0</v>
      </c>
      <c r="P201" s="3" t="s">
        <v>28</v>
      </c>
      <c r="Q201" s="6">
        <v>66.63</v>
      </c>
      <c r="R201" s="7" t="str">
        <f>IF(Q201&gt;=KPI!$E$4,"A",IF(Q201&gt;=KPI!$E$5,"B",IF(Q201&gt;=KPI!$E$6,"C",IF(Q201&gt;=KPI!$E$7,"D","F"))))</f>
        <v>C</v>
      </c>
      <c r="S201" s="7">
        <f t="shared" si="12"/>
        <v>1</v>
      </c>
      <c r="T201" s="6">
        <f t="shared" si="13"/>
        <v>63.849999999999994</v>
      </c>
      <c r="U201" s="7">
        <f>RANK(Q201,$Q$2:$Q$251,0)+COUNTIF($Q$2:Q201,Q201)-1</f>
        <v>205</v>
      </c>
      <c r="V201" s="3" t="str">
        <f t="shared" si="14"/>
        <v>STUDENT_200</v>
      </c>
      <c r="W201" s="3" t="str">
        <f t="shared" si="15"/>
        <v>200</v>
      </c>
    </row>
    <row r="202" spans="1:23" x14ac:dyDescent="0.3">
      <c r="A202" s="3" t="s">
        <v>434</v>
      </c>
      <c r="B202" s="3" t="s">
        <v>435</v>
      </c>
      <c r="C202" s="3" t="s">
        <v>40</v>
      </c>
      <c r="D202" s="3" t="s">
        <v>36</v>
      </c>
      <c r="E202" s="3">
        <v>5</v>
      </c>
      <c r="F202" s="4">
        <v>84.6</v>
      </c>
      <c r="G202" s="4"/>
      <c r="H202" s="4">
        <v>51.1</v>
      </c>
      <c r="I202" s="4">
        <v>47.7</v>
      </c>
      <c r="J202" s="4">
        <v>67.2</v>
      </c>
      <c r="K202" s="3">
        <v>2</v>
      </c>
      <c r="L202" s="3">
        <v>0</v>
      </c>
      <c r="M202" s="3">
        <v>0</v>
      </c>
      <c r="N202" s="3" t="s">
        <v>27</v>
      </c>
      <c r="O202" s="5">
        <v>0</v>
      </c>
      <c r="P202" s="3" t="s">
        <v>32</v>
      </c>
      <c r="Q202" s="6">
        <v>58.13</v>
      </c>
      <c r="R202" s="7" t="str">
        <f>IF(Q202&gt;=KPI!$E$4,"A",IF(Q202&gt;=KPI!$E$5,"B",IF(Q202&gt;=KPI!$E$6,"C",IF(Q202&gt;=KPI!$E$7,"D","F"))))</f>
        <v>D</v>
      </c>
      <c r="S202" s="7">
        <f t="shared" si="12"/>
        <v>0</v>
      </c>
      <c r="T202" s="6">
        <f t="shared" si="13"/>
        <v>57.45</v>
      </c>
      <c r="U202" s="7">
        <f>RANK(Q202,$Q$2:$Q$251,0)+COUNTIF($Q$2:Q202,Q202)-1</f>
        <v>244</v>
      </c>
      <c r="V202" s="3" t="str">
        <f t="shared" si="14"/>
        <v>STUDENT_201</v>
      </c>
      <c r="W202" s="3" t="str">
        <f t="shared" si="15"/>
        <v>201</v>
      </c>
    </row>
    <row r="203" spans="1:23" x14ac:dyDescent="0.3">
      <c r="A203" s="3" t="s">
        <v>436</v>
      </c>
      <c r="B203" s="3" t="s">
        <v>437</v>
      </c>
      <c r="C203" s="3" t="s">
        <v>43</v>
      </c>
      <c r="D203" s="3" t="s">
        <v>36</v>
      </c>
      <c r="E203" s="3">
        <v>2</v>
      </c>
      <c r="F203" s="4">
        <v>79.7</v>
      </c>
      <c r="G203" s="4">
        <v>4.0999999999999996</v>
      </c>
      <c r="H203" s="4">
        <v>81.2</v>
      </c>
      <c r="I203" s="4">
        <v>44.7</v>
      </c>
      <c r="J203" s="4">
        <v>67</v>
      </c>
      <c r="K203" s="3">
        <v>5</v>
      </c>
      <c r="L203" s="3">
        <v>0</v>
      </c>
      <c r="M203" s="3">
        <v>1</v>
      </c>
      <c r="N203" s="3" t="s">
        <v>27</v>
      </c>
      <c r="O203" s="5">
        <v>0</v>
      </c>
      <c r="P203" s="3" t="s">
        <v>32</v>
      </c>
      <c r="Q203" s="6">
        <v>63.15</v>
      </c>
      <c r="R203" s="7" t="str">
        <f>IF(Q203&gt;=KPI!$E$4,"A",IF(Q203&gt;=KPI!$E$5,"B",IF(Q203&gt;=KPI!$E$6,"C",IF(Q203&gt;=KPI!$E$7,"D","F"))))</f>
        <v>D</v>
      </c>
      <c r="S203" s="7">
        <f t="shared" si="12"/>
        <v>0</v>
      </c>
      <c r="T203" s="6">
        <f t="shared" si="13"/>
        <v>55.85</v>
      </c>
      <c r="U203" s="7">
        <f>RANK(Q203,$Q$2:$Q$251,0)+COUNTIF($Q$2:Q203,Q203)-1</f>
        <v>230</v>
      </c>
      <c r="V203" s="3" t="str">
        <f t="shared" si="14"/>
        <v>STUDENT_202</v>
      </c>
      <c r="W203" s="3" t="str">
        <f t="shared" si="15"/>
        <v>202</v>
      </c>
    </row>
    <row r="204" spans="1:23" x14ac:dyDescent="0.3">
      <c r="A204" s="3" t="s">
        <v>438</v>
      </c>
      <c r="B204" s="3" t="s">
        <v>439</v>
      </c>
      <c r="C204" s="3" t="s">
        <v>43</v>
      </c>
      <c r="D204" s="3" t="s">
        <v>26</v>
      </c>
      <c r="E204" s="3">
        <v>4</v>
      </c>
      <c r="F204" s="4">
        <v>80.7</v>
      </c>
      <c r="G204" s="4">
        <v>2.6</v>
      </c>
      <c r="H204" s="4">
        <v>95.7</v>
      </c>
      <c r="I204" s="4">
        <v>80.099999999999994</v>
      </c>
      <c r="J204" s="4">
        <v>79.2</v>
      </c>
      <c r="K204" s="3">
        <v>5</v>
      </c>
      <c r="L204" s="3">
        <v>2</v>
      </c>
      <c r="M204" s="3">
        <v>0</v>
      </c>
      <c r="N204" s="3" t="s">
        <v>27</v>
      </c>
      <c r="O204" s="5">
        <v>0</v>
      </c>
      <c r="P204" s="3" t="s">
        <v>28</v>
      </c>
      <c r="Q204" s="6">
        <v>82.77</v>
      </c>
      <c r="R204" s="7" t="str">
        <f>IF(Q204&gt;=KPI!$E$4,"A",IF(Q204&gt;=KPI!$E$5,"B",IF(Q204&gt;=KPI!$E$6,"C",IF(Q204&gt;=KPI!$E$7,"D","F"))))</f>
        <v>B</v>
      </c>
      <c r="S204" s="7">
        <f t="shared" si="12"/>
        <v>1</v>
      </c>
      <c r="T204" s="6">
        <f t="shared" si="13"/>
        <v>79.650000000000006</v>
      </c>
      <c r="U204" s="7">
        <f>RANK(Q204,$Q$2:$Q$251,0)+COUNTIF($Q$2:Q204,Q204)-1</f>
        <v>59</v>
      </c>
      <c r="V204" s="3" t="str">
        <f t="shared" si="14"/>
        <v>STUDENT_203</v>
      </c>
      <c r="W204" s="3" t="str">
        <f t="shared" si="15"/>
        <v>203</v>
      </c>
    </row>
    <row r="205" spans="1:23" x14ac:dyDescent="0.3">
      <c r="A205" s="3" t="s">
        <v>440</v>
      </c>
      <c r="B205" s="3" t="s">
        <v>441</v>
      </c>
      <c r="C205" s="3" t="s">
        <v>31</v>
      </c>
      <c r="D205" s="3" t="s">
        <v>36</v>
      </c>
      <c r="E205" s="3">
        <v>2</v>
      </c>
      <c r="F205" s="4">
        <v>86.7</v>
      </c>
      <c r="G205" s="4">
        <v>4.5</v>
      </c>
      <c r="H205" s="4">
        <v>86.1</v>
      </c>
      <c r="I205" s="4">
        <v>74.099999999999994</v>
      </c>
      <c r="J205" s="4">
        <v>67.5</v>
      </c>
      <c r="K205" s="3">
        <v>4</v>
      </c>
      <c r="L205" s="3">
        <v>2</v>
      </c>
      <c r="M205" s="3">
        <v>0</v>
      </c>
      <c r="N205" s="3" t="s">
        <v>37</v>
      </c>
      <c r="O205" s="5">
        <v>4062</v>
      </c>
      <c r="P205" s="3" t="s">
        <v>32</v>
      </c>
      <c r="Q205" s="6">
        <v>73.2</v>
      </c>
      <c r="R205" s="7" t="str">
        <f>IF(Q205&gt;=KPI!$E$4,"A",IF(Q205&gt;=KPI!$E$5,"B",IF(Q205&gt;=KPI!$E$6,"C",IF(Q205&gt;=KPI!$E$7,"D","F"))))</f>
        <v>C</v>
      </c>
      <c r="S205" s="7">
        <f t="shared" si="12"/>
        <v>0</v>
      </c>
      <c r="T205" s="6">
        <f t="shared" si="13"/>
        <v>70.8</v>
      </c>
      <c r="U205" s="7">
        <f>RANK(Q205,$Q$2:$Q$251,0)+COUNTIF($Q$2:Q205,Q205)-1</f>
        <v>150</v>
      </c>
      <c r="V205" s="3" t="str">
        <f t="shared" si="14"/>
        <v>STUDENT_204</v>
      </c>
      <c r="W205" s="3" t="str">
        <f t="shared" si="15"/>
        <v>204</v>
      </c>
    </row>
    <row r="206" spans="1:23" x14ac:dyDescent="0.3">
      <c r="A206" s="3" t="s">
        <v>442</v>
      </c>
      <c r="B206" s="3" t="s">
        <v>443</v>
      </c>
      <c r="C206" s="3" t="s">
        <v>40</v>
      </c>
      <c r="D206" s="3" t="s">
        <v>26</v>
      </c>
      <c r="E206" s="3">
        <v>5</v>
      </c>
      <c r="F206" s="4">
        <v>89.5</v>
      </c>
      <c r="G206" s="4">
        <v>6</v>
      </c>
      <c r="H206" s="4">
        <v>68.2</v>
      </c>
      <c r="I206" s="4">
        <v>65.2</v>
      </c>
      <c r="J206" s="4">
        <v>75.099999999999994</v>
      </c>
      <c r="K206" s="3">
        <v>0</v>
      </c>
      <c r="L206" s="3">
        <v>2</v>
      </c>
      <c r="M206" s="3">
        <v>1</v>
      </c>
      <c r="N206" s="3" t="s">
        <v>37</v>
      </c>
      <c r="O206" s="5">
        <v>11829</v>
      </c>
      <c r="P206" s="3" t="s">
        <v>28</v>
      </c>
      <c r="Q206" s="6">
        <v>70.75</v>
      </c>
      <c r="R206" s="7" t="str">
        <f>IF(Q206&gt;=KPI!$E$4,"A",IF(Q206&gt;=KPI!$E$5,"B",IF(Q206&gt;=KPI!$E$6,"C",IF(Q206&gt;=KPI!$E$7,"D","F"))))</f>
        <v>C</v>
      </c>
      <c r="S206" s="7">
        <f t="shared" si="12"/>
        <v>1</v>
      </c>
      <c r="T206" s="6">
        <f t="shared" si="13"/>
        <v>70.150000000000006</v>
      </c>
      <c r="U206" s="7">
        <f>RANK(Q206,$Q$2:$Q$251,0)+COUNTIF($Q$2:Q206,Q206)-1</f>
        <v>178</v>
      </c>
      <c r="V206" s="3" t="str">
        <f t="shared" si="14"/>
        <v>STUDENT_205</v>
      </c>
      <c r="W206" s="3" t="str">
        <f t="shared" si="15"/>
        <v>205</v>
      </c>
    </row>
    <row r="207" spans="1:23" x14ac:dyDescent="0.3">
      <c r="A207" s="3" t="s">
        <v>444</v>
      </c>
      <c r="B207" s="3" t="s">
        <v>445</v>
      </c>
      <c r="C207" s="3" t="s">
        <v>43</v>
      </c>
      <c r="D207" s="3" t="s">
        <v>36</v>
      </c>
      <c r="E207" s="3">
        <v>6</v>
      </c>
      <c r="F207" s="4">
        <v>70.099999999999994</v>
      </c>
      <c r="G207" s="4">
        <v>6.6</v>
      </c>
      <c r="H207" s="4">
        <v>55.4</v>
      </c>
      <c r="I207" s="4">
        <v>67.400000000000006</v>
      </c>
      <c r="J207" s="4">
        <v>80.5</v>
      </c>
      <c r="K207" s="3">
        <v>3</v>
      </c>
      <c r="L207" s="3">
        <v>4</v>
      </c>
      <c r="M207" s="3">
        <v>1</v>
      </c>
      <c r="N207" s="3" t="s">
        <v>37</v>
      </c>
      <c r="O207" s="5">
        <v>14751</v>
      </c>
      <c r="P207" s="3" t="s">
        <v>28</v>
      </c>
      <c r="Q207" s="6">
        <v>71.55</v>
      </c>
      <c r="R207" s="7" t="str">
        <f>IF(Q207&gt;=KPI!$E$4,"A",IF(Q207&gt;=KPI!$E$5,"B",IF(Q207&gt;=KPI!$E$6,"C",IF(Q207&gt;=KPI!$E$7,"D","F"))))</f>
        <v>C</v>
      </c>
      <c r="S207" s="7">
        <f t="shared" si="12"/>
        <v>1</v>
      </c>
      <c r="T207" s="6">
        <f t="shared" si="13"/>
        <v>73.95</v>
      </c>
      <c r="U207" s="7">
        <f>RANK(Q207,$Q$2:$Q$251,0)+COUNTIF($Q$2:Q207,Q207)-1</f>
        <v>169</v>
      </c>
      <c r="V207" s="3" t="str">
        <f t="shared" si="14"/>
        <v>STUDENT_206</v>
      </c>
      <c r="W207" s="3" t="str">
        <f t="shared" si="15"/>
        <v>206</v>
      </c>
    </row>
    <row r="208" spans="1:23" x14ac:dyDescent="0.3">
      <c r="A208" s="3" t="s">
        <v>446</v>
      </c>
      <c r="B208" s="3" t="s">
        <v>447</v>
      </c>
      <c r="C208" s="3" t="s">
        <v>43</v>
      </c>
      <c r="D208" s="3" t="s">
        <v>26</v>
      </c>
      <c r="E208" s="3">
        <v>5</v>
      </c>
      <c r="F208" s="4">
        <v>78.7</v>
      </c>
      <c r="G208" s="4">
        <v>6.8</v>
      </c>
      <c r="H208" s="4">
        <v>74.3</v>
      </c>
      <c r="I208" s="4">
        <v>74.900000000000006</v>
      </c>
      <c r="J208" s="4">
        <v>81</v>
      </c>
      <c r="K208" s="3">
        <v>1</v>
      </c>
      <c r="L208" s="3">
        <v>4</v>
      </c>
      <c r="M208" s="3">
        <v>2</v>
      </c>
      <c r="N208" s="3" t="s">
        <v>37</v>
      </c>
      <c r="O208" s="5">
        <v>17450</v>
      </c>
      <c r="P208" s="3" t="s">
        <v>28</v>
      </c>
      <c r="Q208" s="6">
        <v>77.83</v>
      </c>
      <c r="R208" s="7" t="str">
        <f>IF(Q208&gt;=KPI!$E$4,"A",IF(Q208&gt;=KPI!$E$5,"B",IF(Q208&gt;=KPI!$E$6,"C",IF(Q208&gt;=KPI!$E$7,"D","F"))))</f>
        <v>B</v>
      </c>
      <c r="S208" s="7">
        <f t="shared" si="12"/>
        <v>1</v>
      </c>
      <c r="T208" s="6">
        <f t="shared" si="13"/>
        <v>77.95</v>
      </c>
      <c r="U208" s="7">
        <f>RANK(Q208,$Q$2:$Q$251,0)+COUNTIF($Q$2:Q208,Q208)-1</f>
        <v>100</v>
      </c>
      <c r="V208" s="3" t="str">
        <f t="shared" si="14"/>
        <v>STUDENT_207</v>
      </c>
      <c r="W208" s="3" t="str">
        <f t="shared" si="15"/>
        <v>207</v>
      </c>
    </row>
    <row r="209" spans="1:23" x14ac:dyDescent="0.3">
      <c r="A209" s="3" t="s">
        <v>448</v>
      </c>
      <c r="B209" s="3" t="s">
        <v>449</v>
      </c>
      <c r="C209" s="3" t="s">
        <v>40</v>
      </c>
      <c r="D209" s="3" t="s">
        <v>26</v>
      </c>
      <c r="E209" s="3">
        <v>6</v>
      </c>
      <c r="F209" s="4">
        <v>81.400000000000006</v>
      </c>
      <c r="G209" s="4">
        <v>7.2</v>
      </c>
      <c r="H209" s="4">
        <v>73.900000000000006</v>
      </c>
      <c r="I209" s="4">
        <v>69.7</v>
      </c>
      <c r="J209" s="4">
        <v>64.8</v>
      </c>
      <c r="K209" s="3">
        <v>1</v>
      </c>
      <c r="L209" s="3">
        <v>4</v>
      </c>
      <c r="M209" s="3">
        <v>0</v>
      </c>
      <c r="N209" s="3" t="s">
        <v>37</v>
      </c>
      <c r="O209" s="5">
        <v>15961</v>
      </c>
      <c r="P209" s="3" t="s">
        <v>28</v>
      </c>
      <c r="Q209" s="6">
        <v>68.09</v>
      </c>
      <c r="R209" s="7" t="str">
        <f>IF(Q209&gt;=KPI!$E$4,"A",IF(Q209&gt;=KPI!$E$5,"B",IF(Q209&gt;=KPI!$E$6,"C",IF(Q209&gt;=KPI!$E$7,"D","F"))))</f>
        <v>C</v>
      </c>
      <c r="S209" s="7">
        <f t="shared" si="12"/>
        <v>1</v>
      </c>
      <c r="T209" s="6">
        <f t="shared" si="13"/>
        <v>67.25</v>
      </c>
      <c r="U209" s="7">
        <f>RANK(Q209,$Q$2:$Q$251,0)+COUNTIF($Q$2:Q209,Q209)-1</f>
        <v>200</v>
      </c>
      <c r="V209" s="3" t="str">
        <f t="shared" si="14"/>
        <v>STUDENT_208</v>
      </c>
      <c r="W209" s="3" t="str">
        <f t="shared" si="15"/>
        <v>208</v>
      </c>
    </row>
    <row r="210" spans="1:23" x14ac:dyDescent="0.3">
      <c r="A210" s="3" t="s">
        <v>450</v>
      </c>
      <c r="B210" s="3" t="s">
        <v>451</v>
      </c>
      <c r="C210" s="3" t="s">
        <v>43</v>
      </c>
      <c r="D210" s="3" t="s">
        <v>26</v>
      </c>
      <c r="E210" s="3">
        <v>1</v>
      </c>
      <c r="F210" s="4">
        <v>86.4</v>
      </c>
      <c r="G210" s="4">
        <v>4.4000000000000004</v>
      </c>
      <c r="H210" s="4">
        <v>63.4</v>
      </c>
      <c r="I210" s="4">
        <v>53.2</v>
      </c>
      <c r="J210" s="4">
        <v>62.4</v>
      </c>
      <c r="K210" s="3">
        <v>1</v>
      </c>
      <c r="L210" s="3">
        <v>1</v>
      </c>
      <c r="M210" s="3">
        <v>0</v>
      </c>
      <c r="N210" s="3" t="s">
        <v>37</v>
      </c>
      <c r="O210" s="5">
        <v>11352</v>
      </c>
      <c r="P210" s="3" t="s">
        <v>28</v>
      </c>
      <c r="Q210" s="6">
        <v>59.84</v>
      </c>
      <c r="R210" s="7" t="str">
        <f>IF(Q210&gt;=KPI!$E$4,"A",IF(Q210&gt;=KPI!$E$5,"B",IF(Q210&gt;=KPI!$E$6,"C",IF(Q210&gt;=KPI!$E$7,"D","F"))))</f>
        <v>D</v>
      </c>
      <c r="S210" s="7">
        <f t="shared" si="12"/>
        <v>1</v>
      </c>
      <c r="T210" s="6">
        <f t="shared" si="13"/>
        <v>57.8</v>
      </c>
      <c r="U210" s="7">
        <f>RANK(Q210,$Q$2:$Q$251,0)+COUNTIF($Q$2:Q210,Q210)-1</f>
        <v>241</v>
      </c>
      <c r="V210" s="3" t="str">
        <f t="shared" si="14"/>
        <v>STUDENT_209</v>
      </c>
      <c r="W210" s="3" t="str">
        <f t="shared" si="15"/>
        <v>209</v>
      </c>
    </row>
    <row r="211" spans="1:23" x14ac:dyDescent="0.3">
      <c r="A211" s="3" t="s">
        <v>452</v>
      </c>
      <c r="B211" s="3" t="s">
        <v>453</v>
      </c>
      <c r="C211" s="3" t="s">
        <v>43</v>
      </c>
      <c r="D211" s="3" t="s">
        <v>26</v>
      </c>
      <c r="E211" s="3">
        <v>5</v>
      </c>
      <c r="F211" s="4">
        <v>75</v>
      </c>
      <c r="G211" s="4">
        <v>2.7</v>
      </c>
      <c r="H211" s="4"/>
      <c r="I211" s="4">
        <v>84.8</v>
      </c>
      <c r="J211" s="4">
        <v>86.3</v>
      </c>
      <c r="K211" s="3">
        <v>3</v>
      </c>
      <c r="L211" s="3">
        <v>4</v>
      </c>
      <c r="M211" s="3">
        <v>0</v>
      </c>
      <c r="N211" s="3" t="s">
        <v>37</v>
      </c>
      <c r="O211" s="5">
        <v>17516</v>
      </c>
      <c r="P211" s="3" t="s">
        <v>32</v>
      </c>
      <c r="Q211" s="6">
        <v>85.23</v>
      </c>
      <c r="R211" s="7" t="str">
        <f>IF(Q211&gt;=KPI!$E$4,"A",IF(Q211&gt;=KPI!$E$5,"B",IF(Q211&gt;=KPI!$E$6,"C",IF(Q211&gt;=KPI!$E$7,"D","F"))))</f>
        <v>A</v>
      </c>
      <c r="S211" s="7">
        <f t="shared" si="12"/>
        <v>0</v>
      </c>
      <c r="T211" s="6">
        <f t="shared" si="13"/>
        <v>85.55</v>
      </c>
      <c r="U211" s="7">
        <f>RANK(Q211,$Q$2:$Q$251,0)+COUNTIF($Q$2:Q211,Q211)-1</f>
        <v>32</v>
      </c>
      <c r="V211" s="3" t="str">
        <f t="shared" si="14"/>
        <v>STUDENT_210</v>
      </c>
      <c r="W211" s="3" t="str">
        <f t="shared" si="15"/>
        <v>210</v>
      </c>
    </row>
    <row r="212" spans="1:23" x14ac:dyDescent="0.3">
      <c r="A212" s="3" t="s">
        <v>454</v>
      </c>
      <c r="B212" s="3" t="s">
        <v>455</v>
      </c>
      <c r="C212" s="3" t="s">
        <v>40</v>
      </c>
      <c r="D212" s="3" t="s">
        <v>26</v>
      </c>
      <c r="E212" s="3">
        <v>1</v>
      </c>
      <c r="F212" s="4">
        <v>81.2</v>
      </c>
      <c r="G212" s="4">
        <v>4.5999999999999996</v>
      </c>
      <c r="H212" s="4">
        <v>100</v>
      </c>
      <c r="I212" s="4">
        <v>76.3</v>
      </c>
      <c r="J212" s="4">
        <v>88.6</v>
      </c>
      <c r="K212" s="3">
        <v>5</v>
      </c>
      <c r="L212" s="3">
        <v>2</v>
      </c>
      <c r="M212" s="3">
        <v>0</v>
      </c>
      <c r="N212" s="3" t="s">
        <v>27</v>
      </c>
      <c r="O212" s="5">
        <v>0</v>
      </c>
      <c r="P212" s="3" t="s">
        <v>32</v>
      </c>
      <c r="Q212" s="6">
        <v>87.19</v>
      </c>
      <c r="R212" s="7" t="str">
        <f>IF(Q212&gt;=KPI!$E$4,"A",IF(Q212&gt;=KPI!$E$5,"B",IF(Q212&gt;=KPI!$E$6,"C",IF(Q212&gt;=KPI!$E$7,"D","F"))))</f>
        <v>A</v>
      </c>
      <c r="S212" s="7">
        <f t="shared" si="12"/>
        <v>0</v>
      </c>
      <c r="T212" s="6">
        <f t="shared" si="13"/>
        <v>82.449999999999989</v>
      </c>
      <c r="U212" s="7">
        <f>RANK(Q212,$Q$2:$Q$251,0)+COUNTIF($Q$2:Q212,Q212)-1</f>
        <v>21</v>
      </c>
      <c r="V212" s="3" t="str">
        <f t="shared" si="14"/>
        <v>STUDENT_211</v>
      </c>
      <c r="W212" s="3" t="str">
        <f t="shared" si="15"/>
        <v>211</v>
      </c>
    </row>
    <row r="213" spans="1:23" x14ac:dyDescent="0.3">
      <c r="A213" s="3" t="s">
        <v>456</v>
      </c>
      <c r="B213" s="3" t="s">
        <v>457</v>
      </c>
      <c r="C213" s="3" t="s">
        <v>35</v>
      </c>
      <c r="D213" s="3" t="s">
        <v>36</v>
      </c>
      <c r="E213" s="3">
        <v>4</v>
      </c>
      <c r="F213" s="4">
        <v>82.3</v>
      </c>
      <c r="G213" s="4">
        <v>5.9</v>
      </c>
      <c r="H213" s="4">
        <v>78.900000000000006</v>
      </c>
      <c r="I213" s="4">
        <v>75.7</v>
      </c>
      <c r="J213" s="4">
        <v>76.2</v>
      </c>
      <c r="K213" s="3">
        <v>0</v>
      </c>
      <c r="L213" s="3">
        <v>2</v>
      </c>
      <c r="M213" s="3">
        <v>0</v>
      </c>
      <c r="N213" s="3" t="s">
        <v>27</v>
      </c>
      <c r="O213" s="5">
        <v>0</v>
      </c>
      <c r="P213" s="3" t="s">
        <v>32</v>
      </c>
      <c r="Q213" s="6">
        <v>76.59</v>
      </c>
      <c r="R213" s="7" t="str">
        <f>IF(Q213&gt;=KPI!$E$4,"A",IF(Q213&gt;=KPI!$E$5,"B",IF(Q213&gt;=KPI!$E$6,"C",IF(Q213&gt;=KPI!$E$7,"D","F"))))</f>
        <v>B</v>
      </c>
      <c r="S213" s="7">
        <f t="shared" si="12"/>
        <v>0</v>
      </c>
      <c r="T213" s="6">
        <f t="shared" si="13"/>
        <v>75.95</v>
      </c>
      <c r="U213" s="7">
        <f>RANK(Q213,$Q$2:$Q$251,0)+COUNTIF($Q$2:Q213,Q213)-1</f>
        <v>116</v>
      </c>
      <c r="V213" s="3" t="str">
        <f t="shared" si="14"/>
        <v>STUDENT_212</v>
      </c>
      <c r="W213" s="3" t="str">
        <f t="shared" si="15"/>
        <v>212</v>
      </c>
    </row>
    <row r="214" spans="1:23" x14ac:dyDescent="0.3">
      <c r="A214" s="3" t="s">
        <v>458</v>
      </c>
      <c r="B214" s="3" t="s">
        <v>459</v>
      </c>
      <c r="C214" s="3" t="s">
        <v>40</v>
      </c>
      <c r="D214" s="3" t="s">
        <v>36</v>
      </c>
      <c r="E214" s="3">
        <v>2</v>
      </c>
      <c r="F214" s="4">
        <v>75.7</v>
      </c>
      <c r="G214" s="4"/>
      <c r="H214" s="4">
        <v>78.099999999999994</v>
      </c>
      <c r="I214" s="4">
        <v>83.7</v>
      </c>
      <c r="J214" s="4">
        <v>73.599999999999994</v>
      </c>
      <c r="K214" s="3">
        <v>3</v>
      </c>
      <c r="L214" s="3">
        <v>1</v>
      </c>
      <c r="M214" s="3">
        <v>1</v>
      </c>
      <c r="N214" s="3" t="s">
        <v>27</v>
      </c>
      <c r="O214" s="5">
        <v>0</v>
      </c>
      <c r="P214" s="3" t="s">
        <v>32</v>
      </c>
      <c r="Q214" s="6">
        <v>77.53</v>
      </c>
      <c r="R214" s="7" t="str">
        <f>IF(Q214&gt;=KPI!$E$4,"A",IF(Q214&gt;=KPI!$E$5,"B",IF(Q214&gt;=KPI!$E$6,"C",IF(Q214&gt;=KPI!$E$7,"D","F"))))</f>
        <v>B</v>
      </c>
      <c r="S214" s="7">
        <f t="shared" si="12"/>
        <v>0</v>
      </c>
      <c r="T214" s="6">
        <f t="shared" si="13"/>
        <v>78.650000000000006</v>
      </c>
      <c r="U214" s="7">
        <f>RANK(Q214,$Q$2:$Q$251,0)+COUNTIF($Q$2:Q214,Q214)-1</f>
        <v>104</v>
      </c>
      <c r="V214" s="3" t="str">
        <f t="shared" si="14"/>
        <v>STUDENT_213</v>
      </c>
      <c r="W214" s="3" t="str">
        <f t="shared" si="15"/>
        <v>213</v>
      </c>
    </row>
    <row r="215" spans="1:23" x14ac:dyDescent="0.3">
      <c r="A215" s="3" t="s">
        <v>460</v>
      </c>
      <c r="B215" s="3" t="s">
        <v>461</v>
      </c>
      <c r="C215" s="3" t="s">
        <v>43</v>
      </c>
      <c r="D215" s="3" t="s">
        <v>36</v>
      </c>
      <c r="E215" s="3">
        <v>6</v>
      </c>
      <c r="F215" s="4">
        <v>75.400000000000006</v>
      </c>
      <c r="G215" s="4">
        <v>7.8</v>
      </c>
      <c r="H215" s="4">
        <v>63.8</v>
      </c>
      <c r="I215" s="4">
        <v>60.6</v>
      </c>
      <c r="J215" s="4">
        <v>71</v>
      </c>
      <c r="K215" s="3">
        <v>1</v>
      </c>
      <c r="L215" s="3">
        <v>1</v>
      </c>
      <c r="M215" s="3">
        <v>0</v>
      </c>
      <c r="N215" s="3" t="s">
        <v>27</v>
      </c>
      <c r="O215" s="5">
        <v>0</v>
      </c>
      <c r="P215" s="3" t="s">
        <v>28</v>
      </c>
      <c r="Q215" s="6">
        <v>66.44</v>
      </c>
      <c r="R215" s="7" t="str">
        <f>IF(Q215&gt;=KPI!$E$4,"A",IF(Q215&gt;=KPI!$E$5,"B",IF(Q215&gt;=KPI!$E$6,"C",IF(Q215&gt;=KPI!$E$7,"D","F"))))</f>
        <v>C</v>
      </c>
      <c r="S215" s="7">
        <f t="shared" si="12"/>
        <v>1</v>
      </c>
      <c r="T215" s="6">
        <f t="shared" si="13"/>
        <v>65.8</v>
      </c>
      <c r="U215" s="7">
        <f>RANK(Q215,$Q$2:$Q$251,0)+COUNTIF($Q$2:Q215,Q215)-1</f>
        <v>207</v>
      </c>
      <c r="V215" s="3" t="str">
        <f t="shared" si="14"/>
        <v>STUDENT_214</v>
      </c>
      <c r="W215" s="3" t="str">
        <f t="shared" si="15"/>
        <v>214</v>
      </c>
    </row>
    <row r="216" spans="1:23" x14ac:dyDescent="0.3">
      <c r="A216" s="3" t="s">
        <v>462</v>
      </c>
      <c r="B216" s="3" t="s">
        <v>463</v>
      </c>
      <c r="C216" s="3" t="s">
        <v>35</v>
      </c>
      <c r="D216" s="3" t="s">
        <v>36</v>
      </c>
      <c r="E216" s="3">
        <v>2</v>
      </c>
      <c r="F216" s="4">
        <v>82.9</v>
      </c>
      <c r="G216" s="4">
        <v>6.4</v>
      </c>
      <c r="H216" s="4">
        <v>94.2</v>
      </c>
      <c r="I216" s="4">
        <v>89</v>
      </c>
      <c r="J216" s="4">
        <v>88.3</v>
      </c>
      <c r="K216" s="3">
        <v>4</v>
      </c>
      <c r="L216" s="3">
        <v>4</v>
      </c>
      <c r="M216" s="3">
        <v>3</v>
      </c>
      <c r="N216" s="3" t="s">
        <v>37</v>
      </c>
      <c r="O216" s="5">
        <v>7644</v>
      </c>
      <c r="P216" s="3" t="s">
        <v>32</v>
      </c>
      <c r="Q216" s="6">
        <v>89.69</v>
      </c>
      <c r="R216" s="7" t="str">
        <f>IF(Q216&gt;=KPI!$E$4,"A",IF(Q216&gt;=KPI!$E$5,"B",IF(Q216&gt;=KPI!$E$6,"C",IF(Q216&gt;=KPI!$E$7,"D","F"))))</f>
        <v>A</v>
      </c>
      <c r="S216" s="7">
        <f t="shared" si="12"/>
        <v>0</v>
      </c>
      <c r="T216" s="6">
        <f t="shared" si="13"/>
        <v>88.65</v>
      </c>
      <c r="U216" s="7">
        <f>RANK(Q216,$Q$2:$Q$251,0)+COUNTIF($Q$2:Q216,Q216)-1</f>
        <v>7</v>
      </c>
      <c r="V216" s="3" t="str">
        <f t="shared" si="14"/>
        <v>STUDENT_215</v>
      </c>
      <c r="W216" s="3" t="str">
        <f t="shared" si="15"/>
        <v>215</v>
      </c>
    </row>
    <row r="217" spans="1:23" x14ac:dyDescent="0.3">
      <c r="A217" s="3" t="s">
        <v>464</v>
      </c>
      <c r="B217" s="3" t="s">
        <v>465</v>
      </c>
      <c r="C217" s="3" t="s">
        <v>43</v>
      </c>
      <c r="D217" s="3" t="s">
        <v>26</v>
      </c>
      <c r="E217" s="3">
        <v>1</v>
      </c>
      <c r="F217" s="4">
        <v>80.8</v>
      </c>
      <c r="G217" s="4">
        <v>4.4000000000000004</v>
      </c>
      <c r="H217" s="4">
        <v>75</v>
      </c>
      <c r="I217" s="4">
        <v>70</v>
      </c>
      <c r="J217" s="4">
        <v>61</v>
      </c>
      <c r="K217" s="3">
        <v>2</v>
      </c>
      <c r="L217" s="3">
        <v>3</v>
      </c>
      <c r="M217" s="3">
        <v>3</v>
      </c>
      <c r="N217" s="3" t="s">
        <v>37</v>
      </c>
      <c r="O217" s="5">
        <v>8970</v>
      </c>
      <c r="P217" s="3" t="s">
        <v>32</v>
      </c>
      <c r="Q217" s="6">
        <v>66.5</v>
      </c>
      <c r="R217" s="7" t="str">
        <f>IF(Q217&gt;=KPI!$E$4,"A",IF(Q217&gt;=KPI!$E$5,"B",IF(Q217&gt;=KPI!$E$6,"C",IF(Q217&gt;=KPI!$E$7,"D","F"))))</f>
        <v>C</v>
      </c>
      <c r="S217" s="7">
        <f t="shared" si="12"/>
        <v>0</v>
      </c>
      <c r="T217" s="6">
        <f t="shared" si="13"/>
        <v>65.5</v>
      </c>
      <c r="U217" s="7">
        <f>RANK(Q217,$Q$2:$Q$251,0)+COUNTIF($Q$2:Q217,Q217)-1</f>
        <v>206</v>
      </c>
      <c r="V217" s="3" t="str">
        <f t="shared" si="14"/>
        <v>STUDENT_216</v>
      </c>
      <c r="W217" s="3" t="str">
        <f t="shared" si="15"/>
        <v>216</v>
      </c>
    </row>
    <row r="218" spans="1:23" x14ac:dyDescent="0.3">
      <c r="A218" s="3" t="s">
        <v>466</v>
      </c>
      <c r="B218" s="3" t="s">
        <v>467</v>
      </c>
      <c r="C218" s="3" t="s">
        <v>25</v>
      </c>
      <c r="D218" s="3" t="s">
        <v>26</v>
      </c>
      <c r="E218" s="3">
        <v>6</v>
      </c>
      <c r="F218" s="4">
        <v>86.5</v>
      </c>
      <c r="G218" s="4">
        <v>3.5</v>
      </c>
      <c r="H218" s="4">
        <v>68.5</v>
      </c>
      <c r="I218" s="4">
        <v>84.4</v>
      </c>
      <c r="J218" s="4">
        <v>84.8</v>
      </c>
      <c r="K218" s="3">
        <v>3</v>
      </c>
      <c r="L218" s="3">
        <v>1</v>
      </c>
      <c r="M218" s="3">
        <v>1</v>
      </c>
      <c r="N218" s="3" t="s">
        <v>37</v>
      </c>
      <c r="O218" s="5">
        <v>17109</v>
      </c>
      <c r="P218" s="3" t="s">
        <v>28</v>
      </c>
      <c r="Q218" s="6">
        <v>81.42</v>
      </c>
      <c r="R218" s="7" t="str">
        <f>IF(Q218&gt;=KPI!$E$4,"A",IF(Q218&gt;=KPI!$E$5,"B",IF(Q218&gt;=KPI!$E$6,"C",IF(Q218&gt;=KPI!$E$7,"D","F"))))</f>
        <v>B</v>
      </c>
      <c r="S218" s="7">
        <f t="shared" si="12"/>
        <v>1</v>
      </c>
      <c r="T218" s="6">
        <f t="shared" si="13"/>
        <v>84.6</v>
      </c>
      <c r="U218" s="7">
        <f>RANK(Q218,$Q$2:$Q$251,0)+COUNTIF($Q$2:Q218,Q218)-1</f>
        <v>66</v>
      </c>
      <c r="V218" s="3" t="str">
        <f t="shared" si="14"/>
        <v>STUDENT_217</v>
      </c>
      <c r="W218" s="3" t="str">
        <f t="shared" si="15"/>
        <v>217</v>
      </c>
    </row>
    <row r="219" spans="1:23" x14ac:dyDescent="0.3">
      <c r="A219" s="3" t="s">
        <v>468</v>
      </c>
      <c r="B219" s="3" t="s">
        <v>469</v>
      </c>
      <c r="C219" s="3" t="s">
        <v>35</v>
      </c>
      <c r="D219" s="3" t="s">
        <v>36</v>
      </c>
      <c r="E219" s="3">
        <v>2</v>
      </c>
      <c r="F219" s="4">
        <v>72.5</v>
      </c>
      <c r="G219" s="4">
        <v>3.6</v>
      </c>
      <c r="H219" s="4">
        <v>76.8</v>
      </c>
      <c r="I219" s="4">
        <v>82.3</v>
      </c>
      <c r="J219" s="4">
        <v>86.7</v>
      </c>
      <c r="K219" s="3">
        <v>3</v>
      </c>
      <c r="L219" s="3">
        <v>0</v>
      </c>
      <c r="M219" s="3">
        <v>2</v>
      </c>
      <c r="N219" s="3" t="s">
        <v>37</v>
      </c>
      <c r="O219" s="5">
        <v>14327</v>
      </c>
      <c r="P219" s="3" t="s">
        <v>32</v>
      </c>
      <c r="Q219" s="6">
        <v>83.4</v>
      </c>
      <c r="R219" s="7" t="str">
        <f>IF(Q219&gt;=KPI!$E$4,"A",IF(Q219&gt;=KPI!$E$5,"B",IF(Q219&gt;=KPI!$E$6,"C",IF(Q219&gt;=KPI!$E$7,"D","F"))))</f>
        <v>B</v>
      </c>
      <c r="S219" s="7">
        <f t="shared" si="12"/>
        <v>0</v>
      </c>
      <c r="T219" s="6">
        <f t="shared" si="13"/>
        <v>84.5</v>
      </c>
      <c r="U219" s="7">
        <f>RANK(Q219,$Q$2:$Q$251,0)+COUNTIF($Q$2:Q219,Q219)-1</f>
        <v>51</v>
      </c>
      <c r="V219" s="3" t="str">
        <f t="shared" si="14"/>
        <v>STUDENT_218</v>
      </c>
      <c r="W219" s="3" t="str">
        <f t="shared" si="15"/>
        <v>218</v>
      </c>
    </row>
    <row r="220" spans="1:23" x14ac:dyDescent="0.3">
      <c r="A220" s="3" t="s">
        <v>470</v>
      </c>
      <c r="B220" s="3" t="s">
        <v>471</v>
      </c>
      <c r="C220" s="3" t="s">
        <v>40</v>
      </c>
      <c r="D220" s="3" t="s">
        <v>26</v>
      </c>
      <c r="E220" s="3">
        <v>5</v>
      </c>
      <c r="F220" s="4">
        <v>78.8</v>
      </c>
      <c r="G220" s="4">
        <v>4.9000000000000004</v>
      </c>
      <c r="H220" s="4">
        <v>82.1</v>
      </c>
      <c r="I220" s="4">
        <v>57.5</v>
      </c>
      <c r="J220" s="4">
        <v>61.3</v>
      </c>
      <c r="K220" s="3">
        <v>0</v>
      </c>
      <c r="L220" s="3">
        <v>2</v>
      </c>
      <c r="M220" s="3">
        <v>1</v>
      </c>
      <c r="N220" s="3" t="s">
        <v>27</v>
      </c>
      <c r="O220" s="5">
        <v>0</v>
      </c>
      <c r="P220" s="3" t="s">
        <v>32</v>
      </c>
      <c r="Q220" s="6">
        <v>64.319999999999993</v>
      </c>
      <c r="R220" s="7" t="str">
        <f>IF(Q220&gt;=KPI!$E$4,"A",IF(Q220&gt;=KPI!$E$5,"B",IF(Q220&gt;=KPI!$E$6,"C",IF(Q220&gt;=KPI!$E$7,"D","F"))))</f>
        <v>D</v>
      </c>
      <c r="S220" s="7">
        <f t="shared" si="12"/>
        <v>0</v>
      </c>
      <c r="T220" s="6">
        <f t="shared" si="13"/>
        <v>59.4</v>
      </c>
      <c r="U220" s="7">
        <f>RANK(Q220,$Q$2:$Q$251,0)+COUNTIF($Q$2:Q220,Q220)-1</f>
        <v>219</v>
      </c>
      <c r="V220" s="3" t="str">
        <f t="shared" si="14"/>
        <v>STUDENT_219</v>
      </c>
      <c r="W220" s="3" t="str">
        <f t="shared" si="15"/>
        <v>219</v>
      </c>
    </row>
    <row r="221" spans="1:23" x14ac:dyDescent="0.3">
      <c r="A221" s="3" t="s">
        <v>472</v>
      </c>
      <c r="B221" s="3" t="s">
        <v>473</v>
      </c>
      <c r="C221" s="3" t="s">
        <v>35</v>
      </c>
      <c r="D221" s="3" t="s">
        <v>36</v>
      </c>
      <c r="E221" s="3">
        <v>3</v>
      </c>
      <c r="F221" s="4">
        <v>79.900000000000006</v>
      </c>
      <c r="G221" s="4">
        <v>4.4000000000000004</v>
      </c>
      <c r="H221" s="4">
        <v>77.8</v>
      </c>
      <c r="I221" s="4">
        <v>79</v>
      </c>
      <c r="J221" s="4">
        <v>88.5</v>
      </c>
      <c r="K221" s="3">
        <v>0</v>
      </c>
      <c r="L221" s="3">
        <v>0</v>
      </c>
      <c r="M221" s="3">
        <v>0</v>
      </c>
      <c r="N221" s="3" t="s">
        <v>37</v>
      </c>
      <c r="O221" s="5">
        <v>19323</v>
      </c>
      <c r="P221" s="3" t="s">
        <v>28</v>
      </c>
      <c r="Q221" s="6">
        <v>83.51</v>
      </c>
      <c r="R221" s="7" t="str">
        <f>IF(Q221&gt;=KPI!$E$4,"A",IF(Q221&gt;=KPI!$E$5,"B",IF(Q221&gt;=KPI!$E$6,"C",IF(Q221&gt;=KPI!$E$7,"D","F"))))</f>
        <v>B</v>
      </c>
      <c r="S221" s="7">
        <f t="shared" si="12"/>
        <v>1</v>
      </c>
      <c r="T221" s="6">
        <f t="shared" si="13"/>
        <v>83.75</v>
      </c>
      <c r="U221" s="7">
        <f>RANK(Q221,$Q$2:$Q$251,0)+COUNTIF($Q$2:Q221,Q221)-1</f>
        <v>49</v>
      </c>
      <c r="V221" s="3" t="str">
        <f t="shared" si="14"/>
        <v>STUDENT_220</v>
      </c>
      <c r="W221" s="3" t="str">
        <f t="shared" si="15"/>
        <v>220</v>
      </c>
    </row>
    <row r="222" spans="1:23" x14ac:dyDescent="0.3">
      <c r="A222" s="3" t="s">
        <v>474</v>
      </c>
      <c r="B222" s="3" t="s">
        <v>475</v>
      </c>
      <c r="C222" s="3" t="s">
        <v>40</v>
      </c>
      <c r="D222" s="3" t="s">
        <v>26</v>
      </c>
      <c r="E222" s="3">
        <v>1</v>
      </c>
      <c r="F222" s="4">
        <v>89.3</v>
      </c>
      <c r="G222" s="4">
        <v>6.5</v>
      </c>
      <c r="H222" s="4">
        <v>91.7</v>
      </c>
      <c r="I222" s="4">
        <v>76.599999999999994</v>
      </c>
      <c r="J222" s="4">
        <v>87.5</v>
      </c>
      <c r="K222" s="3">
        <v>3</v>
      </c>
      <c r="L222" s="3">
        <v>2</v>
      </c>
      <c r="M222" s="3">
        <v>0</v>
      </c>
      <c r="N222" s="3" t="s">
        <v>37</v>
      </c>
      <c r="O222" s="5">
        <v>7278</v>
      </c>
      <c r="P222" s="3" t="s">
        <v>32</v>
      </c>
      <c r="Q222" s="6">
        <v>85.07</v>
      </c>
      <c r="R222" s="7" t="str">
        <f>IF(Q222&gt;=KPI!$E$4,"A",IF(Q222&gt;=KPI!$E$5,"B",IF(Q222&gt;=KPI!$E$6,"C",IF(Q222&gt;=KPI!$E$7,"D","F"))))</f>
        <v>A</v>
      </c>
      <c r="S222" s="7">
        <f t="shared" si="12"/>
        <v>0</v>
      </c>
      <c r="T222" s="6">
        <f t="shared" si="13"/>
        <v>82.05</v>
      </c>
      <c r="U222" s="7">
        <f>RANK(Q222,$Q$2:$Q$251,0)+COUNTIF($Q$2:Q222,Q222)-1</f>
        <v>36</v>
      </c>
      <c r="V222" s="3" t="str">
        <f t="shared" si="14"/>
        <v>STUDENT_221</v>
      </c>
      <c r="W222" s="3" t="str">
        <f t="shared" si="15"/>
        <v>221</v>
      </c>
    </row>
    <row r="223" spans="1:23" x14ac:dyDescent="0.3">
      <c r="A223" s="3" t="s">
        <v>476</v>
      </c>
      <c r="B223" s="3" t="s">
        <v>477</v>
      </c>
      <c r="C223" s="3" t="s">
        <v>40</v>
      </c>
      <c r="D223" s="3" t="s">
        <v>36</v>
      </c>
      <c r="E223" s="3">
        <v>2</v>
      </c>
      <c r="F223" s="4"/>
      <c r="G223" s="4">
        <v>4.2</v>
      </c>
      <c r="H223" s="4">
        <v>81</v>
      </c>
      <c r="I223" s="4">
        <v>72.400000000000006</v>
      </c>
      <c r="J223" s="4">
        <v>84.5</v>
      </c>
      <c r="K223" s="3">
        <v>1</v>
      </c>
      <c r="L223" s="3">
        <v>2</v>
      </c>
      <c r="M223" s="3">
        <v>0</v>
      </c>
      <c r="N223" s="3" t="s">
        <v>37</v>
      </c>
      <c r="O223" s="5">
        <v>11296</v>
      </c>
      <c r="P223" s="3" t="s">
        <v>28</v>
      </c>
      <c r="Q223" s="6">
        <v>80.17</v>
      </c>
      <c r="R223" s="7" t="str">
        <f>IF(Q223&gt;=KPI!$E$4,"A",IF(Q223&gt;=KPI!$E$5,"B",IF(Q223&gt;=KPI!$E$6,"C",IF(Q223&gt;=KPI!$E$7,"D","F"))))</f>
        <v>B</v>
      </c>
      <c r="S223" s="7">
        <f t="shared" si="12"/>
        <v>1</v>
      </c>
      <c r="T223" s="6">
        <f t="shared" si="13"/>
        <v>78.45</v>
      </c>
      <c r="U223" s="7">
        <f>RANK(Q223,$Q$2:$Q$251,0)+COUNTIF($Q$2:Q223,Q223)-1</f>
        <v>82</v>
      </c>
      <c r="V223" s="3" t="str">
        <f t="shared" si="14"/>
        <v>STUDENT_222</v>
      </c>
      <c r="W223" s="3" t="str">
        <f t="shared" si="15"/>
        <v>222</v>
      </c>
    </row>
    <row r="224" spans="1:23" x14ac:dyDescent="0.3">
      <c r="A224" s="3" t="s">
        <v>478</v>
      </c>
      <c r="B224" s="3" t="s">
        <v>479</v>
      </c>
      <c r="C224" s="3" t="s">
        <v>43</v>
      </c>
      <c r="D224" s="3" t="s">
        <v>26</v>
      </c>
      <c r="E224" s="3">
        <v>1</v>
      </c>
      <c r="F224" s="4">
        <v>84.1</v>
      </c>
      <c r="G224" s="4">
        <v>5.7</v>
      </c>
      <c r="H224" s="4">
        <v>72.3</v>
      </c>
      <c r="I224" s="4">
        <v>70.7</v>
      </c>
      <c r="J224" s="4">
        <v>78.400000000000006</v>
      </c>
      <c r="K224" s="3">
        <v>2</v>
      </c>
      <c r="L224" s="3">
        <v>1</v>
      </c>
      <c r="M224" s="3">
        <v>0</v>
      </c>
      <c r="N224" s="3" t="s">
        <v>27</v>
      </c>
      <c r="O224" s="5">
        <v>0</v>
      </c>
      <c r="P224" s="3" t="s">
        <v>28</v>
      </c>
      <c r="Q224" s="6">
        <v>74.87</v>
      </c>
      <c r="R224" s="7" t="str">
        <f>IF(Q224&gt;=KPI!$E$4,"A",IF(Q224&gt;=KPI!$E$5,"B",IF(Q224&gt;=KPI!$E$6,"C",IF(Q224&gt;=KPI!$E$7,"D","F"))))</f>
        <v>C</v>
      </c>
      <c r="S224" s="7">
        <f t="shared" si="12"/>
        <v>1</v>
      </c>
      <c r="T224" s="6">
        <f t="shared" si="13"/>
        <v>74.550000000000011</v>
      </c>
      <c r="U224" s="7">
        <f>RANK(Q224,$Q$2:$Q$251,0)+COUNTIF($Q$2:Q224,Q224)-1</f>
        <v>136</v>
      </c>
      <c r="V224" s="3" t="str">
        <f t="shared" si="14"/>
        <v>STUDENT_223</v>
      </c>
      <c r="W224" s="3" t="str">
        <f t="shared" si="15"/>
        <v>223</v>
      </c>
    </row>
    <row r="225" spans="1:23" x14ac:dyDescent="0.3">
      <c r="A225" s="3" t="s">
        <v>480</v>
      </c>
      <c r="B225" s="3" t="s">
        <v>481</v>
      </c>
      <c r="C225" s="3" t="s">
        <v>25</v>
      </c>
      <c r="D225" s="3" t="s">
        <v>36</v>
      </c>
      <c r="E225" s="3">
        <v>7</v>
      </c>
      <c r="F225" s="4">
        <v>84.3</v>
      </c>
      <c r="G225" s="4">
        <v>4.7</v>
      </c>
      <c r="H225" s="4">
        <v>81.2</v>
      </c>
      <c r="I225" s="4">
        <v>70.8</v>
      </c>
      <c r="J225" s="4">
        <v>79.400000000000006</v>
      </c>
      <c r="K225" s="3">
        <v>0</v>
      </c>
      <c r="L225" s="3">
        <v>1</v>
      </c>
      <c r="M225" s="3">
        <v>2</v>
      </c>
      <c r="N225" s="3" t="s">
        <v>27</v>
      </c>
      <c r="O225" s="5">
        <v>0</v>
      </c>
      <c r="P225" s="3" t="s">
        <v>28</v>
      </c>
      <c r="Q225" s="6">
        <v>77.180000000000007</v>
      </c>
      <c r="R225" s="7" t="str">
        <f>IF(Q225&gt;=KPI!$E$4,"A",IF(Q225&gt;=KPI!$E$5,"B",IF(Q225&gt;=KPI!$E$6,"C",IF(Q225&gt;=KPI!$E$7,"D","F"))))</f>
        <v>B</v>
      </c>
      <c r="S225" s="7">
        <f t="shared" si="12"/>
        <v>1</v>
      </c>
      <c r="T225" s="6">
        <f t="shared" si="13"/>
        <v>75.099999999999994</v>
      </c>
      <c r="U225" s="7">
        <f>RANK(Q225,$Q$2:$Q$251,0)+COUNTIF($Q$2:Q225,Q225)-1</f>
        <v>107</v>
      </c>
      <c r="V225" s="3" t="str">
        <f t="shared" si="14"/>
        <v>STUDENT_224</v>
      </c>
      <c r="W225" s="3" t="str">
        <f t="shared" si="15"/>
        <v>224</v>
      </c>
    </row>
    <row r="226" spans="1:23" x14ac:dyDescent="0.3">
      <c r="A226" s="3" t="s">
        <v>482</v>
      </c>
      <c r="B226" s="3" t="s">
        <v>483</v>
      </c>
      <c r="C226" s="3" t="s">
        <v>43</v>
      </c>
      <c r="D226" s="3" t="s">
        <v>36</v>
      </c>
      <c r="E226" s="3">
        <v>1</v>
      </c>
      <c r="F226" s="4">
        <v>96.8</v>
      </c>
      <c r="G226" s="4">
        <v>5.3</v>
      </c>
      <c r="H226" s="4">
        <v>82.5</v>
      </c>
      <c r="I226" s="4">
        <v>83.4</v>
      </c>
      <c r="J226" s="4">
        <v>90.7</v>
      </c>
      <c r="K226" s="3">
        <v>1</v>
      </c>
      <c r="L226" s="3">
        <v>0</v>
      </c>
      <c r="M226" s="3">
        <v>0</v>
      </c>
      <c r="N226" s="3" t="s">
        <v>27</v>
      </c>
      <c r="O226" s="5">
        <v>0</v>
      </c>
      <c r="P226" s="3" t="s">
        <v>32</v>
      </c>
      <c r="Q226" s="6">
        <v>86.87</v>
      </c>
      <c r="R226" s="7" t="str">
        <f>IF(Q226&gt;=KPI!$E$4,"A",IF(Q226&gt;=KPI!$E$5,"B",IF(Q226&gt;=KPI!$E$6,"C",IF(Q226&gt;=KPI!$E$7,"D","F"))))</f>
        <v>A</v>
      </c>
      <c r="S226" s="7">
        <f t="shared" si="12"/>
        <v>0</v>
      </c>
      <c r="T226" s="6">
        <f t="shared" si="13"/>
        <v>87.050000000000011</v>
      </c>
      <c r="U226" s="7">
        <f>RANK(Q226,$Q$2:$Q$251,0)+COUNTIF($Q$2:Q226,Q226)-1</f>
        <v>22</v>
      </c>
      <c r="V226" s="3" t="str">
        <f t="shared" si="14"/>
        <v>STUDENT_225</v>
      </c>
      <c r="W226" s="3" t="str">
        <f t="shared" si="15"/>
        <v>225</v>
      </c>
    </row>
    <row r="227" spans="1:23" x14ac:dyDescent="0.3">
      <c r="A227" s="3" t="s">
        <v>484</v>
      </c>
      <c r="B227" s="3" t="s">
        <v>485</v>
      </c>
      <c r="C227" s="3" t="s">
        <v>43</v>
      </c>
      <c r="D227" s="3" t="s">
        <v>36</v>
      </c>
      <c r="E227" s="3">
        <v>6</v>
      </c>
      <c r="F227" s="4">
        <v>72.900000000000006</v>
      </c>
      <c r="G227" s="4">
        <v>4.4000000000000004</v>
      </c>
      <c r="H227" s="4">
        <v>59.1</v>
      </c>
      <c r="I227" s="4">
        <v>80.099999999999994</v>
      </c>
      <c r="J227" s="4">
        <v>68.7</v>
      </c>
      <c r="K227" s="3">
        <v>4</v>
      </c>
      <c r="L227" s="3">
        <v>2</v>
      </c>
      <c r="M227" s="3">
        <v>2</v>
      </c>
      <c r="N227" s="3" t="s">
        <v>37</v>
      </c>
      <c r="O227" s="5">
        <v>15173</v>
      </c>
      <c r="P227" s="3" t="s">
        <v>32</v>
      </c>
      <c r="Q227" s="6">
        <v>70.2</v>
      </c>
      <c r="R227" s="7" t="str">
        <f>IF(Q227&gt;=KPI!$E$4,"A",IF(Q227&gt;=KPI!$E$5,"B",IF(Q227&gt;=KPI!$E$6,"C",IF(Q227&gt;=KPI!$E$7,"D","F"))))</f>
        <v>C</v>
      </c>
      <c r="S227" s="7">
        <f t="shared" si="12"/>
        <v>0</v>
      </c>
      <c r="T227" s="6">
        <f t="shared" si="13"/>
        <v>74.400000000000006</v>
      </c>
      <c r="U227" s="7">
        <f>RANK(Q227,$Q$2:$Q$251,0)+COUNTIF($Q$2:Q227,Q227)-1</f>
        <v>184</v>
      </c>
      <c r="V227" s="3" t="str">
        <f t="shared" si="14"/>
        <v>STUDENT_226</v>
      </c>
      <c r="W227" s="3" t="str">
        <f t="shared" si="15"/>
        <v>226</v>
      </c>
    </row>
    <row r="228" spans="1:23" x14ac:dyDescent="0.3">
      <c r="A228" s="3" t="s">
        <v>486</v>
      </c>
      <c r="B228" s="3" t="s">
        <v>487</v>
      </c>
      <c r="C228" s="3" t="s">
        <v>31</v>
      </c>
      <c r="D228" s="3" t="s">
        <v>26</v>
      </c>
      <c r="E228" s="3">
        <v>7</v>
      </c>
      <c r="F228" s="4">
        <v>76.099999999999994</v>
      </c>
      <c r="G228" s="4">
        <v>6.1</v>
      </c>
      <c r="H228" s="4">
        <v>90.9</v>
      </c>
      <c r="I228" s="4">
        <v>72.400000000000006</v>
      </c>
      <c r="J228" s="4">
        <v>91.1</v>
      </c>
      <c r="K228" s="3">
        <v>0</v>
      </c>
      <c r="L228" s="3">
        <v>0</v>
      </c>
      <c r="M228" s="3">
        <v>1</v>
      </c>
      <c r="N228" s="3" t="s">
        <v>27</v>
      </c>
      <c r="O228" s="5">
        <v>0</v>
      </c>
      <c r="P228" s="3" t="s">
        <v>32</v>
      </c>
      <c r="Q228" s="6">
        <v>85.45</v>
      </c>
      <c r="R228" s="7" t="str">
        <f>IF(Q228&gt;=KPI!$E$4,"A",IF(Q228&gt;=KPI!$E$5,"B",IF(Q228&gt;=KPI!$E$6,"C",IF(Q228&gt;=KPI!$E$7,"D","F"))))</f>
        <v>A</v>
      </c>
      <c r="S228" s="7">
        <f t="shared" si="12"/>
        <v>0</v>
      </c>
      <c r="T228" s="6">
        <f t="shared" si="13"/>
        <v>81.75</v>
      </c>
      <c r="U228" s="7">
        <f>RANK(Q228,$Q$2:$Q$251,0)+COUNTIF($Q$2:Q228,Q228)-1</f>
        <v>30</v>
      </c>
      <c r="V228" s="3" t="str">
        <f t="shared" si="14"/>
        <v>STUDENT_227</v>
      </c>
      <c r="W228" s="3" t="str">
        <f t="shared" si="15"/>
        <v>227</v>
      </c>
    </row>
    <row r="229" spans="1:23" x14ac:dyDescent="0.3">
      <c r="A229" s="3" t="s">
        <v>488</v>
      </c>
      <c r="B229" s="3" t="s">
        <v>489</v>
      </c>
      <c r="C229" s="3" t="s">
        <v>25</v>
      </c>
      <c r="D229" s="3" t="s">
        <v>36</v>
      </c>
      <c r="E229" s="3">
        <v>8</v>
      </c>
      <c r="F229" s="4">
        <v>73.599999999999994</v>
      </c>
      <c r="G229" s="4">
        <v>6.1</v>
      </c>
      <c r="H229" s="4">
        <v>72.099999999999994</v>
      </c>
      <c r="I229" s="4">
        <v>51.1</v>
      </c>
      <c r="J229" s="4">
        <v>60.1</v>
      </c>
      <c r="K229" s="3">
        <v>1</v>
      </c>
      <c r="L229" s="3">
        <v>3</v>
      </c>
      <c r="M229" s="3">
        <v>0</v>
      </c>
      <c r="N229" s="3" t="s">
        <v>27</v>
      </c>
      <c r="O229" s="5">
        <v>0</v>
      </c>
      <c r="P229" s="3" t="s">
        <v>32</v>
      </c>
      <c r="Q229" s="6">
        <v>59.8</v>
      </c>
      <c r="R229" s="7" t="str">
        <f>IF(Q229&gt;=KPI!$E$4,"A",IF(Q229&gt;=KPI!$E$5,"B",IF(Q229&gt;=KPI!$E$6,"C",IF(Q229&gt;=KPI!$E$7,"D","F"))))</f>
        <v>D</v>
      </c>
      <c r="S229" s="7">
        <f t="shared" si="12"/>
        <v>0</v>
      </c>
      <c r="T229" s="6">
        <f t="shared" si="13"/>
        <v>55.6</v>
      </c>
      <c r="U229" s="7">
        <f>RANK(Q229,$Q$2:$Q$251,0)+COUNTIF($Q$2:Q229,Q229)-1</f>
        <v>242</v>
      </c>
      <c r="V229" s="3" t="str">
        <f t="shared" si="14"/>
        <v>STUDENT_228</v>
      </c>
      <c r="W229" s="3" t="str">
        <f t="shared" si="15"/>
        <v>228</v>
      </c>
    </row>
    <row r="230" spans="1:23" x14ac:dyDescent="0.3">
      <c r="A230" s="3" t="s">
        <v>490</v>
      </c>
      <c r="B230" s="3" t="s">
        <v>491</v>
      </c>
      <c r="C230" s="3" t="s">
        <v>31</v>
      </c>
      <c r="D230" s="3" t="s">
        <v>36</v>
      </c>
      <c r="E230" s="3">
        <v>6</v>
      </c>
      <c r="F230" s="4">
        <v>67</v>
      </c>
      <c r="G230" s="4">
        <v>5.6</v>
      </c>
      <c r="H230" s="4">
        <v>72.400000000000006</v>
      </c>
      <c r="I230" s="4">
        <v>78.900000000000006</v>
      </c>
      <c r="J230" s="4">
        <v>75.400000000000006</v>
      </c>
      <c r="K230" s="3">
        <v>1</v>
      </c>
      <c r="L230" s="3">
        <v>0</v>
      </c>
      <c r="M230" s="3">
        <v>4</v>
      </c>
      <c r="N230" s="3" t="s">
        <v>27</v>
      </c>
      <c r="O230" s="5">
        <v>0</v>
      </c>
      <c r="P230" s="3" t="s">
        <v>32</v>
      </c>
      <c r="Q230" s="6">
        <v>75.849999999999994</v>
      </c>
      <c r="R230" s="7" t="str">
        <f>IF(Q230&gt;=KPI!$E$4,"A",IF(Q230&gt;=KPI!$E$5,"B",IF(Q230&gt;=KPI!$E$6,"C",IF(Q230&gt;=KPI!$E$7,"D","F"))))</f>
        <v>B</v>
      </c>
      <c r="S230" s="7">
        <f t="shared" si="12"/>
        <v>0</v>
      </c>
      <c r="T230" s="6">
        <f t="shared" si="13"/>
        <v>77.150000000000006</v>
      </c>
      <c r="U230" s="7">
        <f>RANK(Q230,$Q$2:$Q$251,0)+COUNTIF($Q$2:Q230,Q230)-1</f>
        <v>121</v>
      </c>
      <c r="V230" s="3" t="str">
        <f t="shared" si="14"/>
        <v>STUDENT_229</v>
      </c>
      <c r="W230" s="3" t="str">
        <f t="shared" si="15"/>
        <v>229</v>
      </c>
    </row>
    <row r="231" spans="1:23" x14ac:dyDescent="0.3">
      <c r="A231" s="3" t="s">
        <v>492</v>
      </c>
      <c r="B231" s="3" t="s">
        <v>493</v>
      </c>
      <c r="C231" s="3" t="s">
        <v>40</v>
      </c>
      <c r="D231" s="3" t="s">
        <v>36</v>
      </c>
      <c r="E231" s="3">
        <v>3</v>
      </c>
      <c r="F231" s="4">
        <v>97.9</v>
      </c>
      <c r="G231" s="4">
        <v>5.9</v>
      </c>
      <c r="H231" s="4">
        <v>85.8</v>
      </c>
      <c r="I231" s="4">
        <v>82.1</v>
      </c>
      <c r="J231" s="4">
        <v>93.4</v>
      </c>
      <c r="K231" s="3">
        <v>2</v>
      </c>
      <c r="L231" s="3">
        <v>4</v>
      </c>
      <c r="M231" s="3">
        <v>0</v>
      </c>
      <c r="N231" s="3" t="s">
        <v>27</v>
      </c>
      <c r="O231" s="5">
        <v>0</v>
      </c>
      <c r="P231" s="3" t="s">
        <v>28</v>
      </c>
      <c r="Q231" s="6">
        <v>88.49</v>
      </c>
      <c r="R231" s="7" t="str">
        <f>IF(Q231&gt;=KPI!$E$4,"A",IF(Q231&gt;=KPI!$E$5,"B",IF(Q231&gt;=KPI!$E$6,"C",IF(Q231&gt;=KPI!$E$7,"D","F"))))</f>
        <v>A</v>
      </c>
      <c r="S231" s="7">
        <f t="shared" si="12"/>
        <v>1</v>
      </c>
      <c r="T231" s="6">
        <f t="shared" si="13"/>
        <v>87.75</v>
      </c>
      <c r="U231" s="7">
        <f>RANK(Q231,$Q$2:$Q$251,0)+COUNTIF($Q$2:Q231,Q231)-1</f>
        <v>13</v>
      </c>
      <c r="V231" s="3" t="str">
        <f t="shared" si="14"/>
        <v>STUDENT_230</v>
      </c>
      <c r="W231" s="3" t="str">
        <f t="shared" si="15"/>
        <v>230</v>
      </c>
    </row>
    <row r="232" spans="1:23" x14ac:dyDescent="0.3">
      <c r="A232" s="3" t="s">
        <v>494</v>
      </c>
      <c r="B232" s="3" t="s">
        <v>495</v>
      </c>
      <c r="C232" s="3" t="s">
        <v>35</v>
      </c>
      <c r="D232" s="3" t="s">
        <v>36</v>
      </c>
      <c r="E232" s="3">
        <v>7</v>
      </c>
      <c r="F232" s="4">
        <v>70.8</v>
      </c>
      <c r="G232" s="4">
        <v>3.1</v>
      </c>
      <c r="H232" s="4">
        <v>85.7</v>
      </c>
      <c r="I232" s="4">
        <v>100</v>
      </c>
      <c r="J232" s="4">
        <v>83.2</v>
      </c>
      <c r="K232" s="3">
        <v>2</v>
      </c>
      <c r="L232" s="3">
        <v>0</v>
      </c>
      <c r="M232" s="3">
        <v>0</v>
      </c>
      <c r="N232" s="3" t="s">
        <v>37</v>
      </c>
      <c r="O232" s="5">
        <v>19397</v>
      </c>
      <c r="P232" s="3" t="s">
        <v>28</v>
      </c>
      <c r="Q232" s="6">
        <v>88.74</v>
      </c>
      <c r="R232" s="7" t="str">
        <f>IF(Q232&gt;=KPI!$E$4,"A",IF(Q232&gt;=KPI!$E$5,"B",IF(Q232&gt;=KPI!$E$6,"C",IF(Q232&gt;=KPI!$E$7,"D","F"))))</f>
        <v>A</v>
      </c>
      <c r="S232" s="7">
        <f t="shared" si="12"/>
        <v>1</v>
      </c>
      <c r="T232" s="6">
        <f t="shared" si="13"/>
        <v>91.6</v>
      </c>
      <c r="U232" s="7">
        <f>RANK(Q232,$Q$2:$Q$251,0)+COUNTIF($Q$2:Q232,Q232)-1</f>
        <v>10</v>
      </c>
      <c r="V232" s="3" t="str">
        <f t="shared" si="14"/>
        <v>STUDENT_231</v>
      </c>
      <c r="W232" s="3" t="str">
        <f t="shared" si="15"/>
        <v>231</v>
      </c>
    </row>
    <row r="233" spans="1:23" x14ac:dyDescent="0.3">
      <c r="A233" s="3" t="s">
        <v>496</v>
      </c>
      <c r="B233" s="3" t="s">
        <v>497</v>
      </c>
      <c r="C233" s="3" t="s">
        <v>40</v>
      </c>
      <c r="D233" s="3" t="s">
        <v>36</v>
      </c>
      <c r="E233" s="3">
        <v>8</v>
      </c>
      <c r="F233" s="4">
        <v>74.7</v>
      </c>
      <c r="G233" s="4">
        <v>5.4</v>
      </c>
      <c r="H233" s="4">
        <v>66.900000000000006</v>
      </c>
      <c r="I233" s="4">
        <v>87.1</v>
      </c>
      <c r="J233" s="4">
        <v>87.1</v>
      </c>
      <c r="K233" s="3">
        <v>4</v>
      </c>
      <c r="L233" s="3">
        <v>4</v>
      </c>
      <c r="M233" s="3">
        <v>1</v>
      </c>
      <c r="N233" s="3" t="s">
        <v>27</v>
      </c>
      <c r="O233" s="5">
        <v>0</v>
      </c>
      <c r="P233" s="3" t="s">
        <v>28</v>
      </c>
      <c r="Q233" s="6">
        <v>83.06</v>
      </c>
      <c r="R233" s="7" t="str">
        <f>IF(Q233&gt;=KPI!$E$4,"A",IF(Q233&gt;=KPI!$E$5,"B",IF(Q233&gt;=KPI!$E$6,"C",IF(Q233&gt;=KPI!$E$7,"D","F"))))</f>
        <v>B</v>
      </c>
      <c r="S233" s="7">
        <f t="shared" si="12"/>
        <v>1</v>
      </c>
      <c r="T233" s="6">
        <f t="shared" si="13"/>
        <v>87.1</v>
      </c>
      <c r="U233" s="7">
        <f>RANK(Q233,$Q$2:$Q$251,0)+COUNTIF($Q$2:Q233,Q233)-1</f>
        <v>55</v>
      </c>
      <c r="V233" s="3" t="str">
        <f t="shared" si="14"/>
        <v>STUDENT_232</v>
      </c>
      <c r="W233" s="3" t="str">
        <f t="shared" si="15"/>
        <v>232</v>
      </c>
    </row>
    <row r="234" spans="1:23" x14ac:dyDescent="0.3">
      <c r="A234" s="3" t="s">
        <v>498</v>
      </c>
      <c r="B234" s="3" t="s">
        <v>499</v>
      </c>
      <c r="C234" s="3" t="s">
        <v>40</v>
      </c>
      <c r="D234" s="3" t="s">
        <v>26</v>
      </c>
      <c r="E234" s="3">
        <v>5</v>
      </c>
      <c r="F234" s="4">
        <v>93.8</v>
      </c>
      <c r="G234" s="4">
        <v>7</v>
      </c>
      <c r="H234" s="4">
        <v>86.4</v>
      </c>
      <c r="I234" s="4">
        <v>45.4</v>
      </c>
      <c r="J234" s="4">
        <v>84.4</v>
      </c>
      <c r="K234" s="3">
        <v>1</v>
      </c>
      <c r="L234" s="3">
        <v>4</v>
      </c>
      <c r="M234" s="3">
        <v>0</v>
      </c>
      <c r="N234" s="3" t="s">
        <v>27</v>
      </c>
      <c r="O234" s="5">
        <v>0</v>
      </c>
      <c r="P234" s="3" t="s">
        <v>32</v>
      </c>
      <c r="Q234" s="6">
        <v>73.099999999999994</v>
      </c>
      <c r="R234" s="7" t="str">
        <f>IF(Q234&gt;=KPI!$E$4,"A",IF(Q234&gt;=KPI!$E$5,"B",IF(Q234&gt;=KPI!$E$6,"C",IF(Q234&gt;=KPI!$E$7,"D","F"))))</f>
        <v>C</v>
      </c>
      <c r="S234" s="7">
        <f t="shared" si="12"/>
        <v>0</v>
      </c>
      <c r="T234" s="6">
        <f t="shared" si="13"/>
        <v>64.900000000000006</v>
      </c>
      <c r="U234" s="7">
        <f>RANK(Q234,$Q$2:$Q$251,0)+COUNTIF($Q$2:Q234,Q234)-1</f>
        <v>151</v>
      </c>
      <c r="V234" s="3" t="str">
        <f t="shared" si="14"/>
        <v>STUDENT_233</v>
      </c>
      <c r="W234" s="3" t="str">
        <f t="shared" si="15"/>
        <v>233</v>
      </c>
    </row>
    <row r="235" spans="1:23" x14ac:dyDescent="0.3">
      <c r="A235" s="3" t="s">
        <v>500</v>
      </c>
      <c r="B235" s="3" t="s">
        <v>501</v>
      </c>
      <c r="C235" s="3" t="s">
        <v>25</v>
      </c>
      <c r="D235" s="3" t="s">
        <v>36</v>
      </c>
      <c r="E235" s="3">
        <v>1</v>
      </c>
      <c r="F235" s="4">
        <v>66.2</v>
      </c>
      <c r="G235" s="4">
        <v>5.7</v>
      </c>
      <c r="H235" s="4">
        <v>68.7</v>
      </c>
      <c r="I235" s="4">
        <v>73.099999999999994</v>
      </c>
      <c r="J235" s="4">
        <v>81.8</v>
      </c>
      <c r="K235" s="3">
        <v>5</v>
      </c>
      <c r="L235" s="3">
        <v>4</v>
      </c>
      <c r="M235" s="3">
        <v>1</v>
      </c>
      <c r="N235" s="3" t="s">
        <v>37</v>
      </c>
      <c r="O235" s="5">
        <v>13116</v>
      </c>
      <c r="P235" s="3" t="s">
        <v>32</v>
      </c>
      <c r="Q235" s="6">
        <v>76.569999999999993</v>
      </c>
      <c r="R235" s="7" t="str">
        <f>IF(Q235&gt;=KPI!$E$4,"A",IF(Q235&gt;=KPI!$E$5,"B",IF(Q235&gt;=KPI!$E$6,"C",IF(Q235&gt;=KPI!$E$7,"D","F"))))</f>
        <v>B</v>
      </c>
      <c r="S235" s="7">
        <f t="shared" si="12"/>
        <v>0</v>
      </c>
      <c r="T235" s="6">
        <f t="shared" si="13"/>
        <v>77.449999999999989</v>
      </c>
      <c r="U235" s="7">
        <f>RANK(Q235,$Q$2:$Q$251,0)+COUNTIF($Q$2:Q235,Q235)-1</f>
        <v>117</v>
      </c>
      <c r="V235" s="3" t="str">
        <f t="shared" si="14"/>
        <v>STUDENT_234</v>
      </c>
      <c r="W235" s="3" t="str">
        <f t="shared" si="15"/>
        <v>234</v>
      </c>
    </row>
    <row r="236" spans="1:23" x14ac:dyDescent="0.3">
      <c r="A236" s="3" t="s">
        <v>502</v>
      </c>
      <c r="B236" s="3" t="s">
        <v>503</v>
      </c>
      <c r="C236" s="3" t="s">
        <v>43</v>
      </c>
      <c r="D236" s="3" t="s">
        <v>36</v>
      </c>
      <c r="E236" s="3">
        <v>2</v>
      </c>
      <c r="F236" s="4">
        <v>88.8</v>
      </c>
      <c r="G236" s="4">
        <v>2.9</v>
      </c>
      <c r="H236" s="4">
        <v>99.7</v>
      </c>
      <c r="I236" s="4">
        <v>97.4</v>
      </c>
      <c r="J236" s="4">
        <v>78.8</v>
      </c>
      <c r="K236" s="3">
        <v>1</v>
      </c>
      <c r="L236" s="3">
        <v>3</v>
      </c>
      <c r="M236" s="3">
        <v>0</v>
      </c>
      <c r="N236" s="3" t="s">
        <v>27</v>
      </c>
      <c r="O236" s="5">
        <v>0</v>
      </c>
      <c r="P236" s="3" t="s">
        <v>32</v>
      </c>
      <c r="Q236" s="6">
        <v>88.56</v>
      </c>
      <c r="R236" s="7" t="str">
        <f>IF(Q236&gt;=KPI!$E$4,"A",IF(Q236&gt;=KPI!$E$5,"B",IF(Q236&gt;=KPI!$E$6,"C",IF(Q236&gt;=KPI!$E$7,"D","F"))))</f>
        <v>A</v>
      </c>
      <c r="S236" s="7">
        <f t="shared" si="12"/>
        <v>0</v>
      </c>
      <c r="T236" s="6">
        <f t="shared" si="13"/>
        <v>88.1</v>
      </c>
      <c r="U236" s="7">
        <f>RANK(Q236,$Q$2:$Q$251,0)+COUNTIF($Q$2:Q236,Q236)-1</f>
        <v>11</v>
      </c>
      <c r="V236" s="3" t="str">
        <f t="shared" si="14"/>
        <v>STUDENT_235</v>
      </c>
      <c r="W236" s="3" t="str">
        <f t="shared" si="15"/>
        <v>235</v>
      </c>
    </row>
    <row r="237" spans="1:23" x14ac:dyDescent="0.3">
      <c r="A237" s="3" t="s">
        <v>504</v>
      </c>
      <c r="B237" s="3" t="s">
        <v>505</v>
      </c>
      <c r="C237" s="3" t="s">
        <v>35</v>
      </c>
      <c r="D237" s="3" t="s">
        <v>36</v>
      </c>
      <c r="E237" s="3">
        <v>4</v>
      </c>
      <c r="F237" s="4">
        <v>69.3</v>
      </c>
      <c r="G237" s="4">
        <v>4.7</v>
      </c>
      <c r="H237" s="4">
        <v>65.2</v>
      </c>
      <c r="I237" s="4">
        <v>80.7</v>
      </c>
      <c r="J237" s="4">
        <v>76.8</v>
      </c>
      <c r="K237" s="3">
        <v>2</v>
      </c>
      <c r="L237" s="3">
        <v>0</v>
      </c>
      <c r="M237" s="3">
        <v>0</v>
      </c>
      <c r="N237" s="3" t="s">
        <v>27</v>
      </c>
      <c r="O237" s="5">
        <v>0</v>
      </c>
      <c r="P237" s="3" t="s">
        <v>28</v>
      </c>
      <c r="Q237" s="6">
        <v>75.650000000000006</v>
      </c>
      <c r="R237" s="7" t="str">
        <f>IF(Q237&gt;=KPI!$E$4,"A",IF(Q237&gt;=KPI!$E$5,"B",IF(Q237&gt;=KPI!$E$6,"C",IF(Q237&gt;=KPI!$E$7,"D","F"))))</f>
        <v>B</v>
      </c>
      <c r="S237" s="7">
        <f t="shared" si="12"/>
        <v>1</v>
      </c>
      <c r="T237" s="6">
        <f t="shared" si="13"/>
        <v>78.75</v>
      </c>
      <c r="U237" s="7">
        <f>RANK(Q237,$Q$2:$Q$251,0)+COUNTIF($Q$2:Q237,Q237)-1</f>
        <v>123</v>
      </c>
      <c r="V237" s="3" t="str">
        <f t="shared" si="14"/>
        <v>STUDENT_236</v>
      </c>
      <c r="W237" s="3" t="str">
        <f t="shared" si="15"/>
        <v>236</v>
      </c>
    </row>
    <row r="238" spans="1:23" x14ac:dyDescent="0.3">
      <c r="A238" s="3" t="s">
        <v>506</v>
      </c>
      <c r="B238" s="3" t="s">
        <v>507</v>
      </c>
      <c r="C238" s="3" t="s">
        <v>25</v>
      </c>
      <c r="D238" s="3" t="s">
        <v>26</v>
      </c>
      <c r="E238" s="3">
        <v>1</v>
      </c>
      <c r="F238" s="4">
        <v>93.2</v>
      </c>
      <c r="G238" s="4">
        <v>5.5</v>
      </c>
      <c r="H238" s="4">
        <v>79.099999999999994</v>
      </c>
      <c r="I238" s="4">
        <v>76.599999999999994</v>
      </c>
      <c r="J238" s="4">
        <v>91.1</v>
      </c>
      <c r="K238" s="3">
        <v>5</v>
      </c>
      <c r="L238" s="3">
        <v>0</v>
      </c>
      <c r="M238" s="3">
        <v>3</v>
      </c>
      <c r="N238" s="3" t="s">
        <v>37</v>
      </c>
      <c r="O238" s="5">
        <v>6761</v>
      </c>
      <c r="P238" s="3" t="s">
        <v>28</v>
      </c>
      <c r="Q238" s="6">
        <v>84.35</v>
      </c>
      <c r="R238" s="7" t="str">
        <f>IF(Q238&gt;=KPI!$E$4,"A",IF(Q238&gt;=KPI!$E$5,"B",IF(Q238&gt;=KPI!$E$6,"C",IF(Q238&gt;=KPI!$E$7,"D","F"))))</f>
        <v>B</v>
      </c>
      <c r="S238" s="7">
        <f t="shared" si="12"/>
        <v>1</v>
      </c>
      <c r="T238" s="6">
        <f t="shared" si="13"/>
        <v>83.85</v>
      </c>
      <c r="U238" s="7">
        <f>RANK(Q238,$Q$2:$Q$251,0)+COUNTIF($Q$2:Q238,Q238)-1</f>
        <v>39</v>
      </c>
      <c r="V238" s="3" t="str">
        <f t="shared" si="14"/>
        <v>STUDENT_237</v>
      </c>
      <c r="W238" s="3" t="str">
        <f t="shared" si="15"/>
        <v>237</v>
      </c>
    </row>
    <row r="239" spans="1:23" x14ac:dyDescent="0.3">
      <c r="A239" s="3" t="s">
        <v>508</v>
      </c>
      <c r="B239" s="3" t="s">
        <v>509</v>
      </c>
      <c r="C239" s="3" t="s">
        <v>43</v>
      </c>
      <c r="D239" s="3" t="s">
        <v>26</v>
      </c>
      <c r="E239" s="3">
        <v>8</v>
      </c>
      <c r="F239" s="4">
        <v>62.5</v>
      </c>
      <c r="G239" s="4">
        <v>3.4</v>
      </c>
      <c r="H239" s="4">
        <v>65.8</v>
      </c>
      <c r="I239" s="4">
        <v>84.6</v>
      </c>
      <c r="J239" s="4">
        <v>64.599999999999994</v>
      </c>
      <c r="K239" s="3">
        <v>0</v>
      </c>
      <c r="L239" s="3">
        <v>3</v>
      </c>
      <c r="M239" s="3">
        <v>0</v>
      </c>
      <c r="N239" s="3" t="s">
        <v>27</v>
      </c>
      <c r="O239" s="5">
        <v>0</v>
      </c>
      <c r="P239" s="3" t="s">
        <v>32</v>
      </c>
      <c r="Q239" s="6">
        <v>70.84</v>
      </c>
      <c r="R239" s="7" t="str">
        <f>IF(Q239&gt;=KPI!$E$4,"A",IF(Q239&gt;=KPI!$E$5,"B",IF(Q239&gt;=KPI!$E$6,"C",IF(Q239&gt;=KPI!$E$7,"D","F"))))</f>
        <v>C</v>
      </c>
      <c r="S239" s="7">
        <f t="shared" si="12"/>
        <v>0</v>
      </c>
      <c r="T239" s="6">
        <f t="shared" si="13"/>
        <v>74.599999999999994</v>
      </c>
      <c r="U239" s="7">
        <f>RANK(Q239,$Q$2:$Q$251,0)+COUNTIF($Q$2:Q239,Q239)-1</f>
        <v>176</v>
      </c>
      <c r="V239" s="3" t="str">
        <f t="shared" si="14"/>
        <v>STUDENT_238</v>
      </c>
      <c r="W239" s="3" t="str">
        <f t="shared" si="15"/>
        <v>238</v>
      </c>
    </row>
    <row r="240" spans="1:23" x14ac:dyDescent="0.3">
      <c r="A240" s="3" t="s">
        <v>510</v>
      </c>
      <c r="B240" s="3" t="s">
        <v>511</v>
      </c>
      <c r="C240" s="3" t="s">
        <v>40</v>
      </c>
      <c r="D240" s="3" t="s">
        <v>36</v>
      </c>
      <c r="E240" s="3">
        <v>1</v>
      </c>
      <c r="F240" s="4">
        <v>66.2</v>
      </c>
      <c r="G240" s="4">
        <v>2.4</v>
      </c>
      <c r="H240" s="4">
        <v>100</v>
      </c>
      <c r="I240" s="4">
        <v>63.3</v>
      </c>
      <c r="J240" s="4">
        <v>76.599999999999994</v>
      </c>
      <c r="K240" s="3">
        <v>0</v>
      </c>
      <c r="L240" s="3">
        <v>2</v>
      </c>
      <c r="M240" s="3">
        <v>0</v>
      </c>
      <c r="N240" s="3" t="s">
        <v>27</v>
      </c>
      <c r="O240" s="5">
        <v>0</v>
      </c>
      <c r="P240" s="3" t="s">
        <v>28</v>
      </c>
      <c r="Q240" s="6">
        <v>77.290000000000006</v>
      </c>
      <c r="R240" s="7" t="str">
        <f>IF(Q240&gt;=KPI!$E$4,"A",IF(Q240&gt;=KPI!$E$5,"B",IF(Q240&gt;=KPI!$E$6,"C",IF(Q240&gt;=KPI!$E$7,"D","F"))))</f>
        <v>B</v>
      </c>
      <c r="S240" s="7">
        <f t="shared" si="12"/>
        <v>1</v>
      </c>
      <c r="T240" s="6">
        <f t="shared" si="13"/>
        <v>69.949999999999989</v>
      </c>
      <c r="U240" s="7">
        <f>RANK(Q240,$Q$2:$Q$251,0)+COUNTIF($Q$2:Q240,Q240)-1</f>
        <v>106</v>
      </c>
      <c r="V240" s="3" t="str">
        <f t="shared" si="14"/>
        <v>STUDENT_239</v>
      </c>
      <c r="W240" s="3" t="str">
        <f t="shared" si="15"/>
        <v>239</v>
      </c>
    </row>
    <row r="241" spans="1:23" x14ac:dyDescent="0.3">
      <c r="A241" s="3" t="s">
        <v>512</v>
      </c>
      <c r="B241" s="3" t="s">
        <v>513</v>
      </c>
      <c r="C241" s="3" t="s">
        <v>43</v>
      </c>
      <c r="D241" s="3" t="s">
        <v>36</v>
      </c>
      <c r="E241" s="3">
        <v>3</v>
      </c>
      <c r="F241" s="4">
        <v>77.099999999999994</v>
      </c>
      <c r="G241" s="4">
        <v>4.2</v>
      </c>
      <c r="H241" s="4">
        <v>59.9</v>
      </c>
      <c r="I241" s="4">
        <v>78.7</v>
      </c>
      <c r="J241" s="4">
        <v>78.900000000000006</v>
      </c>
      <c r="K241" s="3">
        <v>3</v>
      </c>
      <c r="L241" s="3">
        <v>1</v>
      </c>
      <c r="M241" s="3">
        <v>0</v>
      </c>
      <c r="N241" s="3" t="s">
        <v>27</v>
      </c>
      <c r="O241" s="5">
        <v>0</v>
      </c>
      <c r="P241" s="3" t="s">
        <v>28</v>
      </c>
      <c r="Q241" s="6">
        <v>75.040000000000006</v>
      </c>
      <c r="R241" s="7" t="str">
        <f>IF(Q241&gt;=KPI!$E$4,"A",IF(Q241&gt;=KPI!$E$5,"B",IF(Q241&gt;=KPI!$E$6,"C",IF(Q241&gt;=KPI!$E$7,"D","F"))))</f>
        <v>B</v>
      </c>
      <c r="S241" s="7">
        <f t="shared" si="12"/>
        <v>1</v>
      </c>
      <c r="T241" s="6">
        <f t="shared" si="13"/>
        <v>78.800000000000011</v>
      </c>
      <c r="U241" s="7">
        <f>RANK(Q241,$Q$2:$Q$251,0)+COUNTIF($Q$2:Q241,Q241)-1</f>
        <v>134</v>
      </c>
      <c r="V241" s="3" t="str">
        <f t="shared" si="14"/>
        <v>STUDENT_240</v>
      </c>
      <c r="W241" s="3" t="str">
        <f t="shared" si="15"/>
        <v>240</v>
      </c>
    </row>
    <row r="242" spans="1:23" x14ac:dyDescent="0.3">
      <c r="A242" s="3" t="s">
        <v>514</v>
      </c>
      <c r="B242" s="3" t="s">
        <v>515</v>
      </c>
      <c r="C242" s="3" t="s">
        <v>31</v>
      </c>
      <c r="D242" s="3" t="s">
        <v>26</v>
      </c>
      <c r="E242" s="3">
        <v>5</v>
      </c>
      <c r="F242" s="4">
        <v>90.7</v>
      </c>
      <c r="G242" s="4">
        <v>3.5</v>
      </c>
      <c r="H242" s="4">
        <v>82.8</v>
      </c>
      <c r="I242" s="4">
        <v>68.5</v>
      </c>
      <c r="J242" s="4">
        <v>68.2</v>
      </c>
      <c r="K242" s="3">
        <v>2</v>
      </c>
      <c r="L242" s="3">
        <v>0</v>
      </c>
      <c r="M242" s="3">
        <v>2</v>
      </c>
      <c r="N242" s="3" t="s">
        <v>37</v>
      </c>
      <c r="O242" s="5">
        <v>18790</v>
      </c>
      <c r="P242" s="3" t="s">
        <v>32</v>
      </c>
      <c r="Q242" s="6">
        <v>71.209999999999994</v>
      </c>
      <c r="R242" s="7" t="str">
        <f>IF(Q242&gt;=KPI!$E$4,"A",IF(Q242&gt;=KPI!$E$5,"B",IF(Q242&gt;=KPI!$E$6,"C",IF(Q242&gt;=KPI!$E$7,"D","F"))))</f>
        <v>C</v>
      </c>
      <c r="S242" s="7">
        <f t="shared" si="12"/>
        <v>0</v>
      </c>
      <c r="T242" s="6">
        <f t="shared" si="13"/>
        <v>68.349999999999994</v>
      </c>
      <c r="U242" s="7">
        <f>RANK(Q242,$Q$2:$Q$251,0)+COUNTIF($Q$2:Q242,Q242)-1</f>
        <v>171</v>
      </c>
      <c r="V242" s="3" t="str">
        <f t="shared" si="14"/>
        <v>STUDENT_241</v>
      </c>
      <c r="W242" s="3" t="str">
        <f t="shared" si="15"/>
        <v>241</v>
      </c>
    </row>
    <row r="243" spans="1:23" x14ac:dyDescent="0.3">
      <c r="A243" s="3" t="s">
        <v>516</v>
      </c>
      <c r="B243" s="3" t="s">
        <v>517</v>
      </c>
      <c r="C243" s="3" t="s">
        <v>31</v>
      </c>
      <c r="D243" s="3" t="s">
        <v>36</v>
      </c>
      <c r="E243" s="3">
        <v>4</v>
      </c>
      <c r="F243" s="4">
        <v>81.7</v>
      </c>
      <c r="G243" s="4">
        <v>4.8</v>
      </c>
      <c r="H243" s="4">
        <v>66.400000000000006</v>
      </c>
      <c r="I243" s="4"/>
      <c r="J243" s="4">
        <v>80.599999999999994</v>
      </c>
      <c r="K243" s="3">
        <v>3</v>
      </c>
      <c r="L243" s="3">
        <v>1</v>
      </c>
      <c r="M243" s="3">
        <v>0</v>
      </c>
      <c r="N243" s="3" t="s">
        <v>27</v>
      </c>
      <c r="O243" s="5">
        <v>0</v>
      </c>
      <c r="P243" s="3" t="s">
        <v>28</v>
      </c>
      <c r="Q243" s="6">
        <v>75.09</v>
      </c>
      <c r="R243" s="7" t="str">
        <f>IF(Q243&gt;=KPI!$E$4,"A",IF(Q243&gt;=KPI!$E$5,"B",IF(Q243&gt;=KPI!$E$6,"C",IF(Q243&gt;=KPI!$E$7,"D","F"))))</f>
        <v>B</v>
      </c>
      <c r="S243" s="7">
        <f t="shared" si="12"/>
        <v>1</v>
      </c>
      <c r="T243" s="6">
        <f t="shared" si="13"/>
        <v>80.599999999999994</v>
      </c>
      <c r="U243" s="7">
        <f>RANK(Q243,$Q$2:$Q$251,0)+COUNTIF($Q$2:Q243,Q243)-1</f>
        <v>130</v>
      </c>
      <c r="V243" s="3" t="str">
        <f t="shared" si="14"/>
        <v>STUDENT_242</v>
      </c>
      <c r="W243" s="3" t="str">
        <f t="shared" si="15"/>
        <v>242</v>
      </c>
    </row>
    <row r="244" spans="1:23" x14ac:dyDescent="0.3">
      <c r="A244" s="3" t="s">
        <v>518</v>
      </c>
      <c r="B244" s="3" t="s">
        <v>519</v>
      </c>
      <c r="C244" s="3" t="s">
        <v>31</v>
      </c>
      <c r="D244" s="3" t="s">
        <v>26</v>
      </c>
      <c r="E244" s="3">
        <v>7</v>
      </c>
      <c r="F244" s="4">
        <v>79</v>
      </c>
      <c r="G244" s="4">
        <v>1.9</v>
      </c>
      <c r="H244" s="4">
        <v>71.400000000000006</v>
      </c>
      <c r="I244" s="4">
        <v>83.6</v>
      </c>
      <c r="J244" s="4">
        <v>77</v>
      </c>
      <c r="K244" s="3">
        <v>5</v>
      </c>
      <c r="L244" s="3">
        <v>3</v>
      </c>
      <c r="M244" s="3">
        <v>0</v>
      </c>
      <c r="N244" s="3" t="s">
        <v>37</v>
      </c>
      <c r="O244" s="5">
        <v>6668</v>
      </c>
      <c r="P244" s="3" t="s">
        <v>32</v>
      </c>
      <c r="Q244" s="6">
        <v>77.86</v>
      </c>
      <c r="R244" s="7" t="str">
        <f>IF(Q244&gt;=KPI!$E$4,"A",IF(Q244&gt;=KPI!$E$5,"B",IF(Q244&gt;=KPI!$E$6,"C",IF(Q244&gt;=KPI!$E$7,"D","F"))))</f>
        <v>B</v>
      </c>
      <c r="S244" s="7">
        <f t="shared" si="12"/>
        <v>0</v>
      </c>
      <c r="T244" s="6">
        <f t="shared" si="13"/>
        <v>80.3</v>
      </c>
      <c r="U244" s="7">
        <f>RANK(Q244,$Q$2:$Q$251,0)+COUNTIF($Q$2:Q244,Q244)-1</f>
        <v>99</v>
      </c>
      <c r="V244" s="3" t="str">
        <f t="shared" si="14"/>
        <v>STUDENT_243</v>
      </c>
      <c r="W244" s="3" t="str">
        <f t="shared" si="15"/>
        <v>243</v>
      </c>
    </row>
    <row r="245" spans="1:23" x14ac:dyDescent="0.3">
      <c r="A245" s="3" t="s">
        <v>520</v>
      </c>
      <c r="B245" s="3" t="s">
        <v>521</v>
      </c>
      <c r="C245" s="3" t="s">
        <v>25</v>
      </c>
      <c r="D245" s="3" t="s">
        <v>26</v>
      </c>
      <c r="E245" s="3">
        <v>7</v>
      </c>
      <c r="F245" s="4">
        <v>94.1</v>
      </c>
      <c r="G245" s="4">
        <v>5.8</v>
      </c>
      <c r="H245" s="4">
        <v>81.900000000000006</v>
      </c>
      <c r="I245" s="4">
        <v>59</v>
      </c>
      <c r="J245" s="4">
        <v>82</v>
      </c>
      <c r="K245" s="3">
        <v>2</v>
      </c>
      <c r="L245" s="3">
        <v>2</v>
      </c>
      <c r="M245" s="3">
        <v>0</v>
      </c>
      <c r="N245" s="3" t="s">
        <v>27</v>
      </c>
      <c r="O245" s="5">
        <v>0</v>
      </c>
      <c r="P245" s="3" t="s">
        <v>28</v>
      </c>
      <c r="Q245" s="6">
        <v>75.08</v>
      </c>
      <c r="R245" s="7" t="str">
        <f>IF(Q245&gt;=KPI!$E$4,"A",IF(Q245&gt;=KPI!$E$5,"B",IF(Q245&gt;=KPI!$E$6,"C",IF(Q245&gt;=KPI!$E$7,"D","F"))))</f>
        <v>B</v>
      </c>
      <c r="S245" s="7">
        <f t="shared" si="12"/>
        <v>1</v>
      </c>
      <c r="T245" s="6">
        <f t="shared" si="13"/>
        <v>70.5</v>
      </c>
      <c r="U245" s="7">
        <f>RANK(Q245,$Q$2:$Q$251,0)+COUNTIF($Q$2:Q245,Q245)-1</f>
        <v>132</v>
      </c>
      <c r="V245" s="3" t="str">
        <f t="shared" si="14"/>
        <v>STUDENT_244</v>
      </c>
      <c r="W245" s="3" t="str">
        <f t="shared" si="15"/>
        <v>244</v>
      </c>
    </row>
    <row r="246" spans="1:23" x14ac:dyDescent="0.3">
      <c r="A246" s="3" t="s">
        <v>522</v>
      </c>
      <c r="B246" s="3" t="s">
        <v>523</v>
      </c>
      <c r="C246" s="3" t="s">
        <v>43</v>
      </c>
      <c r="D246" s="3" t="s">
        <v>26</v>
      </c>
      <c r="E246" s="3">
        <v>7</v>
      </c>
      <c r="F246" s="4">
        <v>100</v>
      </c>
      <c r="G246" s="4">
        <v>3.7</v>
      </c>
      <c r="H246" s="4">
        <v>91.9</v>
      </c>
      <c r="I246" s="4">
        <v>90</v>
      </c>
      <c r="J246" s="4">
        <v>84.1</v>
      </c>
      <c r="K246" s="3">
        <v>4</v>
      </c>
      <c r="L246" s="3">
        <v>2</v>
      </c>
      <c r="M246" s="3">
        <v>0</v>
      </c>
      <c r="N246" s="3" t="s">
        <v>37</v>
      </c>
      <c r="O246" s="5">
        <v>17907</v>
      </c>
      <c r="P246" s="3" t="s">
        <v>28</v>
      </c>
      <c r="Q246" s="6">
        <v>87.43</v>
      </c>
      <c r="R246" s="7" t="str">
        <f>IF(Q246&gt;=KPI!$E$4,"A",IF(Q246&gt;=KPI!$E$5,"B",IF(Q246&gt;=KPI!$E$6,"C",IF(Q246&gt;=KPI!$E$7,"D","F"))))</f>
        <v>A</v>
      </c>
      <c r="S246" s="7">
        <f t="shared" si="12"/>
        <v>1</v>
      </c>
      <c r="T246" s="6">
        <f t="shared" si="13"/>
        <v>87.05</v>
      </c>
      <c r="U246" s="7">
        <f>RANK(Q246,$Q$2:$Q$251,0)+COUNTIF($Q$2:Q246,Q246)-1</f>
        <v>17</v>
      </c>
      <c r="V246" s="3" t="str">
        <f t="shared" si="14"/>
        <v>STUDENT_245</v>
      </c>
      <c r="W246" s="3" t="str">
        <f t="shared" si="15"/>
        <v>245</v>
      </c>
    </row>
    <row r="247" spans="1:23" x14ac:dyDescent="0.3">
      <c r="A247" s="3" t="s">
        <v>524</v>
      </c>
      <c r="B247" s="3" t="s">
        <v>525</v>
      </c>
      <c r="C247" s="3" t="s">
        <v>31</v>
      </c>
      <c r="D247" s="3" t="s">
        <v>26</v>
      </c>
      <c r="E247" s="3">
        <v>8</v>
      </c>
      <c r="F247" s="4">
        <v>88.1</v>
      </c>
      <c r="G247" s="4">
        <v>6.6</v>
      </c>
      <c r="H247" s="4"/>
      <c r="I247" s="4">
        <v>66.099999999999994</v>
      </c>
      <c r="J247" s="4">
        <v>85.9</v>
      </c>
      <c r="K247" s="3">
        <v>1</v>
      </c>
      <c r="L247" s="3">
        <v>2</v>
      </c>
      <c r="M247" s="3">
        <v>1</v>
      </c>
      <c r="N247" s="3" t="s">
        <v>27</v>
      </c>
      <c r="O247" s="5">
        <v>0</v>
      </c>
      <c r="P247" s="3" t="s">
        <v>32</v>
      </c>
      <c r="Q247" s="6">
        <v>82.2</v>
      </c>
      <c r="R247" s="7" t="str">
        <f>IF(Q247&gt;=KPI!$E$4,"A",IF(Q247&gt;=KPI!$E$5,"B",IF(Q247&gt;=KPI!$E$6,"C",IF(Q247&gt;=KPI!$E$7,"D","F"))))</f>
        <v>B</v>
      </c>
      <c r="S247" s="7">
        <f t="shared" si="12"/>
        <v>0</v>
      </c>
      <c r="T247" s="6">
        <f t="shared" si="13"/>
        <v>76</v>
      </c>
      <c r="U247" s="7">
        <f>RANK(Q247,$Q$2:$Q$251,0)+COUNTIF($Q$2:Q247,Q247)-1</f>
        <v>60</v>
      </c>
      <c r="V247" s="3" t="str">
        <f t="shared" si="14"/>
        <v>STUDENT_246</v>
      </c>
      <c r="W247" s="3" t="str">
        <f t="shared" si="15"/>
        <v>246</v>
      </c>
    </row>
    <row r="248" spans="1:23" x14ac:dyDescent="0.3">
      <c r="A248" s="3" t="s">
        <v>526</v>
      </c>
      <c r="B248" s="3" t="s">
        <v>527</v>
      </c>
      <c r="C248" s="3" t="s">
        <v>25</v>
      </c>
      <c r="D248" s="3" t="s">
        <v>36</v>
      </c>
      <c r="E248" s="3">
        <v>6</v>
      </c>
      <c r="F248" s="4">
        <v>76.400000000000006</v>
      </c>
      <c r="G248" s="4">
        <v>4.3</v>
      </c>
      <c r="H248" s="4">
        <v>56</v>
      </c>
      <c r="I248" s="4">
        <v>75.599999999999994</v>
      </c>
      <c r="J248" s="4">
        <v>60</v>
      </c>
      <c r="K248" s="3">
        <v>4</v>
      </c>
      <c r="L248" s="3">
        <v>3</v>
      </c>
      <c r="M248" s="3">
        <v>1</v>
      </c>
      <c r="N248" s="3" t="s">
        <v>27</v>
      </c>
      <c r="O248" s="5">
        <v>0</v>
      </c>
      <c r="P248" s="3" t="s">
        <v>32</v>
      </c>
      <c r="Q248" s="6">
        <v>63.88</v>
      </c>
      <c r="R248" s="7" t="str">
        <f>IF(Q248&gt;=KPI!$E$4,"A",IF(Q248&gt;=KPI!$E$5,"B",IF(Q248&gt;=KPI!$E$6,"C",IF(Q248&gt;=KPI!$E$7,"D","F"))))</f>
        <v>D</v>
      </c>
      <c r="S248" s="7">
        <f t="shared" si="12"/>
        <v>0</v>
      </c>
      <c r="T248" s="6">
        <f t="shared" si="13"/>
        <v>67.8</v>
      </c>
      <c r="U248" s="7">
        <f>RANK(Q248,$Q$2:$Q$251,0)+COUNTIF($Q$2:Q248,Q248)-1</f>
        <v>224</v>
      </c>
      <c r="V248" s="3" t="str">
        <f t="shared" si="14"/>
        <v>STUDENT_247</v>
      </c>
      <c r="W248" s="3" t="str">
        <f t="shared" si="15"/>
        <v>247</v>
      </c>
    </row>
    <row r="249" spans="1:23" x14ac:dyDescent="0.3">
      <c r="A249" s="3" t="s">
        <v>528</v>
      </c>
      <c r="B249" s="3" t="s">
        <v>529</v>
      </c>
      <c r="C249" s="3" t="s">
        <v>31</v>
      </c>
      <c r="D249" s="3" t="s">
        <v>26</v>
      </c>
      <c r="E249" s="3">
        <v>6</v>
      </c>
      <c r="F249" s="4">
        <v>78.2</v>
      </c>
      <c r="G249" s="4">
        <v>4.8</v>
      </c>
      <c r="H249" s="4">
        <v>79.5</v>
      </c>
      <c r="I249" s="4">
        <v>52.4</v>
      </c>
      <c r="J249" s="4">
        <v>52.8</v>
      </c>
      <c r="K249" s="3">
        <v>5</v>
      </c>
      <c r="L249" s="3">
        <v>4</v>
      </c>
      <c r="M249" s="3">
        <v>0</v>
      </c>
      <c r="N249" s="3" t="s">
        <v>27</v>
      </c>
      <c r="O249" s="5">
        <v>0</v>
      </c>
      <c r="P249" s="3" t="s">
        <v>32</v>
      </c>
      <c r="Q249" s="6">
        <v>58.02</v>
      </c>
      <c r="R249" s="7" t="str">
        <f>IF(Q249&gt;=KPI!$E$4,"A",IF(Q249&gt;=KPI!$E$5,"B",IF(Q249&gt;=KPI!$E$6,"C",IF(Q249&gt;=KPI!$E$7,"D","F"))))</f>
        <v>D</v>
      </c>
      <c r="S249" s="7">
        <f t="shared" si="12"/>
        <v>0</v>
      </c>
      <c r="T249" s="6">
        <f t="shared" si="13"/>
        <v>52.599999999999994</v>
      </c>
      <c r="U249" s="7">
        <f>RANK(Q249,$Q$2:$Q$251,0)+COUNTIF($Q$2:Q249,Q249)-1</f>
        <v>245</v>
      </c>
      <c r="V249" s="3" t="str">
        <f t="shared" si="14"/>
        <v>STUDENT_248</v>
      </c>
      <c r="W249" s="3" t="str">
        <f t="shared" si="15"/>
        <v>248</v>
      </c>
    </row>
    <row r="250" spans="1:23" x14ac:dyDescent="0.3">
      <c r="A250" s="3" t="s">
        <v>530</v>
      </c>
      <c r="B250" s="3" t="s">
        <v>531</v>
      </c>
      <c r="C250" s="3" t="s">
        <v>31</v>
      </c>
      <c r="D250" s="3" t="s">
        <v>36</v>
      </c>
      <c r="E250" s="3">
        <v>2</v>
      </c>
      <c r="F250" s="4">
        <v>70.400000000000006</v>
      </c>
      <c r="G250" s="4">
        <v>4.5</v>
      </c>
      <c r="H250" s="4">
        <v>95</v>
      </c>
      <c r="I250" s="4">
        <v>82.1</v>
      </c>
      <c r="J250" s="4">
        <v>84.8</v>
      </c>
      <c r="K250" s="3">
        <v>2</v>
      </c>
      <c r="L250" s="3">
        <v>4</v>
      </c>
      <c r="M250" s="3">
        <v>1</v>
      </c>
      <c r="N250" s="3" t="s">
        <v>27</v>
      </c>
      <c r="O250" s="5">
        <v>0</v>
      </c>
      <c r="P250" s="3" t="s">
        <v>28</v>
      </c>
      <c r="Q250" s="6">
        <v>86.03</v>
      </c>
      <c r="R250" s="7" t="str">
        <f>IF(Q250&gt;=KPI!$E$4,"A",IF(Q250&gt;=KPI!$E$5,"B",IF(Q250&gt;=KPI!$E$6,"C",IF(Q250&gt;=KPI!$E$7,"D","F"))))</f>
        <v>A</v>
      </c>
      <c r="S250" s="7">
        <f t="shared" si="12"/>
        <v>1</v>
      </c>
      <c r="T250" s="6">
        <f t="shared" si="13"/>
        <v>83.449999999999989</v>
      </c>
      <c r="U250" s="7">
        <f>RANK(Q250,$Q$2:$Q$251,0)+COUNTIF($Q$2:Q250,Q250)-1</f>
        <v>27</v>
      </c>
      <c r="V250" s="3" t="str">
        <f t="shared" si="14"/>
        <v>STUDENT_249</v>
      </c>
      <c r="W250" s="3" t="str">
        <f t="shared" si="15"/>
        <v>249</v>
      </c>
    </row>
    <row r="251" spans="1:23" x14ac:dyDescent="0.3">
      <c r="A251" s="3" t="s">
        <v>532</v>
      </c>
      <c r="B251" s="3" t="s">
        <v>533</v>
      </c>
      <c r="C251" s="3" t="s">
        <v>31</v>
      </c>
      <c r="D251" s="3" t="s">
        <v>36</v>
      </c>
      <c r="E251" s="3">
        <v>4</v>
      </c>
      <c r="F251" s="4">
        <v>82.9</v>
      </c>
      <c r="G251" s="4">
        <v>3.6</v>
      </c>
      <c r="H251" s="4">
        <v>54.1</v>
      </c>
      <c r="I251" s="4">
        <v>92.3</v>
      </c>
      <c r="J251" s="4">
        <v>86.5</v>
      </c>
      <c r="K251" s="3">
        <v>5</v>
      </c>
      <c r="L251" s="3">
        <v>1</v>
      </c>
      <c r="M251" s="3">
        <v>0</v>
      </c>
      <c r="N251" s="3" t="s">
        <v>27</v>
      </c>
      <c r="O251" s="5">
        <v>0</v>
      </c>
      <c r="P251" s="3" t="s">
        <v>32</v>
      </c>
      <c r="Q251" s="6">
        <v>81.760000000000005</v>
      </c>
      <c r="R251" s="7" t="str">
        <f>IF(Q251&gt;=KPI!$E$4,"A",IF(Q251&gt;=KPI!$E$5,"B",IF(Q251&gt;=KPI!$E$6,"C",IF(Q251&gt;=KPI!$E$7,"D","F"))))</f>
        <v>B</v>
      </c>
      <c r="S251" s="7">
        <f t="shared" si="12"/>
        <v>0</v>
      </c>
      <c r="T251" s="6">
        <f t="shared" si="13"/>
        <v>89.4</v>
      </c>
      <c r="U251" s="7">
        <f>RANK(Q251,$Q$2:$Q$251,0)+COUNTIF($Q$2:Q251,Q251)-1</f>
        <v>64</v>
      </c>
      <c r="V251" s="3" t="str">
        <f t="shared" si="14"/>
        <v>STUDENT_250</v>
      </c>
      <c r="W251" s="3" t="str">
        <f t="shared" si="15"/>
        <v>250</v>
      </c>
    </row>
  </sheetData>
  <conditionalFormatting sqref="F2:I251">
    <cfRule type="expression" dxfId="2" priority="1">
      <formula>ISBLANK(F2)</formula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D10" sqref="D10"/>
    </sheetView>
  </sheetViews>
  <sheetFormatPr defaultRowHeight="14.4" x14ac:dyDescent="0.3"/>
  <cols>
    <col min="1" max="1" width="34" customWidth="1"/>
    <col min="2" max="2" width="18" customWidth="1"/>
    <col min="3" max="3" width="4" customWidth="1"/>
    <col min="4" max="4" width="14" customWidth="1"/>
    <col min="5" max="5" width="20" customWidth="1"/>
    <col min="6" max="6" width="12" customWidth="1"/>
  </cols>
  <sheetData>
    <row r="1" spans="1:6" ht="25.8" customHeight="1" x14ac:dyDescent="0.3">
      <c r="A1" s="61" t="s">
        <v>534</v>
      </c>
      <c r="B1" s="62"/>
    </row>
    <row r="3" spans="1:6" ht="15.6" customHeight="1" x14ac:dyDescent="0.3">
      <c r="A3" s="60" t="s">
        <v>535</v>
      </c>
      <c r="B3" s="8">
        <f>IFERROR(COUNTA(Dataset!A2:A251),0)</f>
        <v>250</v>
      </c>
      <c r="D3" s="9" t="s">
        <v>17</v>
      </c>
      <c r="E3" s="9" t="s">
        <v>536</v>
      </c>
      <c r="F3" s="9" t="s">
        <v>537</v>
      </c>
    </row>
    <row r="4" spans="1:6" ht="15.6" customHeight="1" x14ac:dyDescent="0.3">
      <c r="A4" s="60" t="s">
        <v>538</v>
      </c>
      <c r="B4" s="10">
        <f>IFERROR(AVERAGE(Dataset!Q2:Q251),0)</f>
        <v>75.231120000000004</v>
      </c>
      <c r="D4" s="59" t="s">
        <v>539</v>
      </c>
      <c r="E4" s="11">
        <v>85</v>
      </c>
      <c r="F4" s="12">
        <f>COUNTIF(Dataset!R2:R251,D4)</f>
        <v>37</v>
      </c>
    </row>
    <row r="5" spans="1:6" ht="15.6" customHeight="1" x14ac:dyDescent="0.3">
      <c r="A5" s="60" t="s">
        <v>540</v>
      </c>
      <c r="B5" s="13">
        <f>IFERROR(SUM(Dataset!S2:S251)/COUNTA(Dataset!A2:A251),0)</f>
        <v>0.56000000000000005</v>
      </c>
      <c r="D5" s="59" t="s">
        <v>541</v>
      </c>
      <c r="E5" s="11">
        <v>75</v>
      </c>
      <c r="F5" s="12">
        <f>COUNTIF(Dataset!R2:R251,D5)</f>
        <v>98</v>
      </c>
    </row>
    <row r="6" spans="1:6" ht="15.6" customHeight="1" x14ac:dyDescent="0.3">
      <c r="A6" s="60" t="s">
        <v>542</v>
      </c>
      <c r="B6" s="8">
        <f>IFERROR(COUNTIF(Dataset!P2:P251,"Placed"),0)</f>
        <v>140</v>
      </c>
      <c r="D6" s="59" t="s">
        <v>543</v>
      </c>
      <c r="E6" s="11">
        <v>65</v>
      </c>
      <c r="F6" s="12">
        <f>COUNTIF(Dataset!R2:R251,D6)</f>
        <v>76</v>
      </c>
    </row>
    <row r="7" spans="1:6" ht="15.6" customHeight="1" x14ac:dyDescent="0.3">
      <c r="A7" s="60" t="s">
        <v>544</v>
      </c>
      <c r="B7" s="8">
        <f>IFERROR(COUNTIF(Dataset!P2:P251,"Not Placed"),0)</f>
        <v>110</v>
      </c>
      <c r="D7" s="59" t="s">
        <v>545</v>
      </c>
      <c r="E7" s="11">
        <v>50</v>
      </c>
      <c r="F7" s="12">
        <f>COUNTIF(Dataset!R2:R251,D7)</f>
        <v>37</v>
      </c>
    </row>
    <row r="8" spans="1:6" ht="15.6" customHeight="1" x14ac:dyDescent="0.3">
      <c r="A8" s="60" t="s">
        <v>546</v>
      </c>
      <c r="B8" s="14">
        <f>IFERROR(AVERAGE(Dataset!F2:F251),0)</f>
        <v>81.258775510204117</v>
      </c>
      <c r="D8" s="59" t="s">
        <v>547</v>
      </c>
      <c r="E8" s="11">
        <v>0</v>
      </c>
      <c r="F8" s="12">
        <f>COUNTIF(Dataset!R2:R251,D8)</f>
        <v>2</v>
      </c>
    </row>
    <row r="9" spans="1:6" ht="15.6" customHeight="1" x14ac:dyDescent="0.3">
      <c r="A9" s="60" t="s">
        <v>548</v>
      </c>
      <c r="B9" s="10">
        <f>IFERROR(AVERAGE(Dataset!G2:G251),0)</f>
        <v>4.7600000000000007</v>
      </c>
    </row>
    <row r="10" spans="1:6" ht="15.6" customHeight="1" x14ac:dyDescent="0.3">
      <c r="A10" s="60" t="s">
        <v>549</v>
      </c>
      <c r="B10" s="15">
        <f>IFERROR(SUM(Dataset!K2:K251),0)</f>
        <v>635</v>
      </c>
    </row>
    <row r="11" spans="1:6" ht="15.6" customHeight="1" x14ac:dyDescent="0.3">
      <c r="A11" s="60" t="s">
        <v>550</v>
      </c>
      <c r="B11" s="15">
        <f>IFERROR(SUM(Dataset!L2:L251),0)</f>
        <v>526</v>
      </c>
    </row>
    <row r="12" spans="1:6" ht="15.6" customHeight="1" x14ac:dyDescent="0.3">
      <c r="A12" s="60" t="s">
        <v>551</v>
      </c>
      <c r="B12" s="8">
        <f>IFERROR(COUNTIF(Dataset!M2:M251,"&gt;0"),0)</f>
        <v>107</v>
      </c>
    </row>
    <row r="13" spans="1:6" ht="15.6" customHeight="1" x14ac:dyDescent="0.3">
      <c r="A13" s="60" t="s">
        <v>552</v>
      </c>
      <c r="B13" s="13">
        <f>IFERROR(COUNTIF(Dataset!N2:N251,"Yes")/COUNTA(Dataset!A2:A251),0)</f>
        <v>0.41599999999999998</v>
      </c>
    </row>
    <row r="14" spans="1:6" ht="15.6" customHeight="1" x14ac:dyDescent="0.3">
      <c r="A14" s="60" t="s">
        <v>553</v>
      </c>
      <c r="B14" s="16">
        <f>IFERROR(AVERAGEIF(Dataset!O2:O251,"&gt;0"),0)</f>
        <v>12343.346153846154</v>
      </c>
    </row>
    <row r="15" spans="1:6" ht="15.6" customHeight="1" x14ac:dyDescent="0.3">
      <c r="A15" s="60" t="s">
        <v>554</v>
      </c>
      <c r="B15" s="8">
        <f>COUNTBLANK(Dataset!A2:Q251)</f>
        <v>20</v>
      </c>
    </row>
  </sheetData>
  <mergeCells count="1">
    <mergeCell ref="A1:B1"/>
  </mergeCells>
  <conditionalFormatting sqref="B3:B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9"/>
  <sheetViews>
    <sheetView topLeftCell="A16" zoomScale="92" workbookViewId="0">
      <selection activeCell="D50" sqref="D50"/>
    </sheetView>
  </sheetViews>
  <sheetFormatPr defaultRowHeight="14.4" x14ac:dyDescent="0.3"/>
  <cols>
    <col min="1" max="1" width="22" customWidth="1"/>
    <col min="2" max="2" width="19" customWidth="1"/>
    <col min="3" max="3" width="24" customWidth="1"/>
    <col min="4" max="4" width="20" customWidth="1"/>
    <col min="5" max="5" width="40" customWidth="1"/>
    <col min="6" max="6" width="8" customWidth="1"/>
  </cols>
  <sheetData>
    <row r="1" spans="1:6" ht="21" customHeight="1" x14ac:dyDescent="0.3">
      <c r="A1" s="63" t="s">
        <v>555</v>
      </c>
      <c r="B1" s="62"/>
      <c r="C1" s="62"/>
      <c r="D1" s="62"/>
      <c r="E1" s="62"/>
    </row>
    <row r="3" spans="1:6" x14ac:dyDescent="0.3">
      <c r="A3" s="18" t="s">
        <v>556</v>
      </c>
      <c r="B3" s="19"/>
      <c r="C3" s="19"/>
      <c r="E3" s="18" t="s">
        <v>557</v>
      </c>
      <c r="F3" s="19"/>
    </row>
    <row r="4" spans="1:6" x14ac:dyDescent="0.3">
      <c r="A4" s="1" t="s">
        <v>558</v>
      </c>
      <c r="B4" s="1" t="s">
        <v>559</v>
      </c>
      <c r="C4" s="1" t="s">
        <v>560</v>
      </c>
    </row>
    <row r="5" spans="1:6" ht="18" customHeight="1" x14ac:dyDescent="0.3">
      <c r="A5" s="20" t="str">
        <f>IFERROR(INDEX(Dataset!$B$2:$B$251,MATCH(ROWS($A$5:A5),Dataset!$U$2:$U$251,0)),"")</f>
        <v>Student_046</v>
      </c>
      <c r="B5" s="21">
        <f>IFERROR(INDEX(Dataset!$Q$2:$Q$251,MATCH(ROWS($A$5:A5),Dataset!$U$2:$U$251,0)),"")</f>
        <v>93.65</v>
      </c>
      <c r="C5" s="22" t="str">
        <f>IFERROR(INDEX(Dataset!$C$2:$C$251,MATCH(ROWS($A$5:A5),Dataset!$U$2:$U$251,0)),"")</f>
        <v>AI-ML</v>
      </c>
      <c r="E5" s="23" t="str">
        <f>INDEX(ANALYSIS!$A$4:$A$8,MATCH(MAX(ANALYSIS!$C$4:$C$8),ANALYSIS!$C$4:$C$8,0))</f>
        <v>AI-ML</v>
      </c>
    </row>
    <row r="6" spans="1:6" ht="18" customHeight="1" x14ac:dyDescent="0.3">
      <c r="A6" s="20" t="str">
        <f>IFERROR(INDEX(Dataset!$B$2:$B$251,MATCH(ROWS($A$5:A6),Dataset!$U$2:$U$251,0)),"")</f>
        <v>Student_021</v>
      </c>
      <c r="B6" s="21">
        <f>IFERROR(INDEX(Dataset!$Q$2:$Q$251,MATCH(ROWS($A$5:A6),Dataset!$U$2:$U$251,0)),"")</f>
        <v>91.62</v>
      </c>
      <c r="C6" s="22" t="str">
        <f>IFERROR(INDEX(Dataset!$C$2:$C$251,MATCH(ROWS($A$5:A6),Dataset!$U$2:$U$251,0)),"")</f>
        <v>AI-ML</v>
      </c>
    </row>
    <row r="7" spans="1:6" ht="18" customHeight="1" x14ac:dyDescent="0.3">
      <c r="A7" s="20" t="str">
        <f>IFERROR(INDEX(Dataset!$B$2:$B$251,MATCH(ROWS($A$5:A7),Dataset!$U$2:$U$251,0)),"")</f>
        <v>Student_028</v>
      </c>
      <c r="B7" s="21">
        <f>IFERROR(INDEX(Dataset!$Q$2:$Q$251,MATCH(ROWS($A$5:A7),Dataset!$U$2:$U$251,0)),"")</f>
        <v>91.51</v>
      </c>
      <c r="C7" s="22" t="str">
        <f>IFERROR(INDEX(Dataset!$C$2:$C$251,MATCH(ROWS($A$5:A7),Dataset!$U$2:$U$251,0)),"")</f>
        <v>AI-ML</v>
      </c>
      <c r="E7" s="18" t="s">
        <v>561</v>
      </c>
      <c r="F7" s="19"/>
    </row>
    <row r="8" spans="1:6" ht="18" customHeight="1" x14ac:dyDescent="0.3">
      <c r="A8" s="20" t="str">
        <f>IFERROR(INDEX(Dataset!$B$2:$B$251,MATCH(ROWS($A$5:A8),Dataset!$U$2:$U$251,0)),"")</f>
        <v>Student_138</v>
      </c>
      <c r="B8" s="21">
        <f>IFERROR(INDEX(Dataset!$Q$2:$Q$251,MATCH(ROWS($A$5:A8),Dataset!$U$2:$U$251,0)),"")</f>
        <v>91.45</v>
      </c>
      <c r="C8" s="22" t="str">
        <f>IFERROR(INDEX(Dataset!$C$2:$C$251,MATCH(ROWS($A$5:A8),Dataset!$U$2:$U$251,0)),"")</f>
        <v>Data Science</v>
      </c>
    </row>
    <row r="9" spans="1:6" ht="18" customHeight="1" x14ac:dyDescent="0.3">
      <c r="A9" s="20" t="str">
        <f>IFERROR(INDEX(Dataset!$B$2:$B$251,MATCH(ROWS($A$5:A9),Dataset!$U$2:$U$251,0)),"")</f>
        <v>Student_192</v>
      </c>
      <c r="B9" s="21">
        <f>IFERROR(INDEX(Dataset!$Q$2:$Q$251,MATCH(ROWS($A$5:A9),Dataset!$U$2:$U$251,0)),"")</f>
        <v>91.33</v>
      </c>
      <c r="C9" s="22" t="str">
        <f>IFERROR(INDEX(Dataset!$C$2:$C$251,MATCH(ROWS($A$5:A9),Dataset!$U$2:$U$251,0)),"")</f>
        <v>Electronics</v>
      </c>
      <c r="E9" s="23" t="str">
        <f>INDEX(ANALYSIS!$A$4:$A$8,MATCH(MAX(ANALYSIS!$B$4:$B$8),ANALYSIS!$B$4:$B$8,0))</f>
        <v>Computer Engineering</v>
      </c>
    </row>
    <row r="10" spans="1:6" ht="18" customHeight="1" x14ac:dyDescent="0.3">
      <c r="A10" s="20" t="str">
        <f>IFERROR(INDEX(Dataset!$B$2:$B$251,MATCH(ROWS($A$5:A10),Dataset!$U$2:$U$251,0)),"")</f>
        <v>Student_116</v>
      </c>
      <c r="B10" s="21">
        <f>IFERROR(INDEX(Dataset!$Q$2:$Q$251,MATCH(ROWS($A$5:A10),Dataset!$U$2:$U$251,0)),"")</f>
        <v>91.31</v>
      </c>
      <c r="C10" s="22" t="str">
        <f>IFERROR(INDEX(Dataset!$C$2:$C$251,MATCH(ROWS($A$5:A10),Dataset!$U$2:$U$251,0)),"")</f>
        <v>Electronics</v>
      </c>
    </row>
    <row r="11" spans="1:6" ht="18" customHeight="1" x14ac:dyDescent="0.3">
      <c r="A11" s="20" t="str">
        <f>IFERROR(INDEX(Dataset!$B$2:$B$251,MATCH(ROWS($A$5:A11),Dataset!$U$2:$U$251,0)),"")</f>
        <v>Student_215</v>
      </c>
      <c r="B11" s="21">
        <f>IFERROR(INDEX(Dataset!$Q$2:$Q$251,MATCH(ROWS($A$5:A11),Dataset!$U$2:$U$251,0)),"")</f>
        <v>89.69</v>
      </c>
      <c r="C11" s="22" t="str">
        <f>IFERROR(INDEX(Dataset!$C$2:$C$251,MATCH(ROWS($A$5:A11),Dataset!$U$2:$U$251,0)),"")</f>
        <v>Data Science</v>
      </c>
      <c r="E11" s="18" t="s">
        <v>562</v>
      </c>
      <c r="F11" s="19"/>
    </row>
    <row r="12" spans="1:6" ht="18" customHeight="1" x14ac:dyDescent="0.3">
      <c r="A12" s="20" t="str">
        <f>IFERROR(INDEX(Dataset!$B$2:$B$251,MATCH(ROWS($A$5:A12),Dataset!$U$2:$U$251,0)),"")</f>
        <v>Student_141</v>
      </c>
      <c r="B12" s="21">
        <f>IFERROR(INDEX(Dataset!$Q$2:$Q$251,MATCH(ROWS($A$5:A12),Dataset!$U$2:$U$251,0)),"")</f>
        <v>89.54</v>
      </c>
      <c r="C12" s="22" t="str">
        <f>IFERROR(INDEX(Dataset!$C$2:$C$251,MATCH(ROWS($A$5:A12),Dataset!$U$2:$U$251,0)),"")</f>
        <v>Electronics</v>
      </c>
    </row>
    <row r="13" spans="1:6" ht="18" customHeight="1" x14ac:dyDescent="0.3">
      <c r="A13" s="20" t="str">
        <f>IFERROR(INDEX(Dataset!$B$2:$B$251,MATCH(ROWS($A$5:A13),Dataset!$U$2:$U$251,0)),"")</f>
        <v>Student_030</v>
      </c>
      <c r="B13" s="21">
        <f>IFERROR(INDEX(Dataset!$Q$2:$Q$251,MATCH(ROWS($A$5:A13),Dataset!$U$2:$U$251,0)),"")</f>
        <v>89.35</v>
      </c>
      <c r="C13" s="22" t="str">
        <f>IFERROR(INDEX(Dataset!$C$2:$C$251,MATCH(ROWS($A$5:A13),Dataset!$U$2:$U$251,0)),"")</f>
        <v>Computer Engineering</v>
      </c>
      <c r="E13" s="23" t="str">
        <f>INDEX(ANALYSIS!$A$4:$A$8,MATCH(MAX(ANALYSIS!$F$4:$F$8),ANALYSIS!$F$4:$F$8,0))</f>
        <v>AI-ML</v>
      </c>
    </row>
    <row r="14" spans="1:6" ht="18" customHeight="1" x14ac:dyDescent="0.3">
      <c r="A14" s="20" t="str">
        <f>IFERROR(INDEX(Dataset!$B$2:$B$251,MATCH(ROWS($A$5:A14),Dataset!$U$2:$U$251,0)),"")</f>
        <v>Student_231</v>
      </c>
      <c r="B14" s="21">
        <f>IFERROR(INDEX(Dataset!$Q$2:$Q$251,MATCH(ROWS($A$5:A14),Dataset!$U$2:$U$251,0)),"")</f>
        <v>88.74</v>
      </c>
      <c r="C14" s="22" t="str">
        <f>IFERROR(INDEX(Dataset!$C$2:$C$251,MATCH(ROWS($A$5:A14),Dataset!$U$2:$U$251,0)),"")</f>
        <v>Data Science</v>
      </c>
    </row>
    <row r="18" spans="1:4" x14ac:dyDescent="0.3">
      <c r="A18" s="18" t="s">
        <v>563</v>
      </c>
      <c r="B18" s="19"/>
      <c r="C18" s="19"/>
      <c r="D18" s="19"/>
    </row>
    <row r="19" spans="1:4" x14ac:dyDescent="0.3">
      <c r="A19" s="24" t="s">
        <v>558</v>
      </c>
      <c r="B19" s="24" t="s">
        <v>559</v>
      </c>
      <c r="C19" s="24" t="s">
        <v>564</v>
      </c>
      <c r="D19" s="25" t="s">
        <v>565</v>
      </c>
    </row>
    <row r="20" spans="1:4" x14ac:dyDescent="0.3">
      <c r="A20" s="26" t="s">
        <v>24</v>
      </c>
      <c r="B20" s="27">
        <f>IFERROR(SUMIF(Dataset!B:B,A20,Dataset!Q:Q),0)</f>
        <v>80.37</v>
      </c>
      <c r="C20" s="22">
        <f>IFERROR(SUMIF(Dataset!B:B,A20,Dataset!K:K),0)</f>
        <v>2</v>
      </c>
      <c r="D20" s="28" t="str">
        <f>IFERROR(INDEX(Dataset!P:P,MATCH(A20,Dataset!B:B,0)),"Not Found")</f>
        <v>Placed</v>
      </c>
    </row>
    <row r="21" spans="1:4" x14ac:dyDescent="0.3">
      <c r="A21" s="26" t="s">
        <v>30</v>
      </c>
      <c r="B21" s="27">
        <f>IFERROR(SUMIF(Dataset!B:B,A21,Dataset!Q:Q),0)</f>
        <v>68.569999999999993</v>
      </c>
      <c r="C21" s="22">
        <f>IFERROR(SUMIF(Dataset!B:B,A21,Dataset!K:K),0)</f>
        <v>2</v>
      </c>
      <c r="D21" s="28" t="str">
        <f>IFERROR(INDEX(Dataset!P:P,MATCH(A21,Dataset!B:B,0)),"Not Found")</f>
        <v>Not Placed</v>
      </c>
    </row>
    <row r="22" spans="1:4" x14ac:dyDescent="0.3">
      <c r="A22" s="26" t="s">
        <v>34</v>
      </c>
      <c r="B22" s="27">
        <f>IFERROR(SUMIF(Dataset!B:B,A22,Dataset!Q:Q),0)</f>
        <v>88.2</v>
      </c>
      <c r="C22" s="22">
        <f>IFERROR(SUMIF(Dataset!B:B,A22,Dataset!K:K),0)</f>
        <v>5</v>
      </c>
      <c r="D22" s="28" t="str">
        <f>IFERROR(INDEX(Dataset!P:P,MATCH(A22,Dataset!B:B,0)),"Not Found")</f>
        <v>Not Placed</v>
      </c>
    </row>
    <row r="23" spans="1:4" x14ac:dyDescent="0.3">
      <c r="A23" s="26" t="s">
        <v>39</v>
      </c>
      <c r="B23" s="27">
        <f>IFERROR(SUMIF(Dataset!B:B,A23,Dataset!Q:Q),0)</f>
        <v>70.72</v>
      </c>
      <c r="C23" s="22">
        <f>IFERROR(SUMIF(Dataset!B:B,A23,Dataset!K:K),0)</f>
        <v>5</v>
      </c>
      <c r="D23" s="28" t="str">
        <f>IFERROR(INDEX(Dataset!P:P,MATCH(A23,Dataset!B:B,0)),"Not Found")</f>
        <v>Placed</v>
      </c>
    </row>
    <row r="24" spans="1:4" x14ac:dyDescent="0.3">
      <c r="A24" s="26" t="s">
        <v>42</v>
      </c>
      <c r="B24" s="27">
        <f>IFERROR(SUMIF(Dataset!B:B,A24,Dataset!Q:Q),0)</f>
        <v>60.68</v>
      </c>
      <c r="C24" s="22">
        <f>IFERROR(SUMIF(Dataset!B:B,A24,Dataset!K:K),0)</f>
        <v>2</v>
      </c>
      <c r="D24" s="28" t="str">
        <f>IFERROR(INDEX(Dataset!P:P,MATCH(A24,Dataset!B:B,0)),"Not Found")</f>
        <v>Placed</v>
      </c>
    </row>
    <row r="25" spans="1:4" x14ac:dyDescent="0.3">
      <c r="A25" s="26" t="s">
        <v>45</v>
      </c>
      <c r="B25" s="27">
        <f>IFERROR(SUMIF(Dataset!B:B,A25,Dataset!Q:Q),0)</f>
        <v>61.35</v>
      </c>
      <c r="C25" s="22">
        <f>IFERROR(SUMIF(Dataset!B:B,A25,Dataset!K:K),0)</f>
        <v>3</v>
      </c>
      <c r="D25" s="28" t="str">
        <f>IFERROR(INDEX(Dataset!P:P,MATCH(A25,Dataset!B:B,0)),"Not Found")</f>
        <v>Not Placed</v>
      </c>
    </row>
    <row r="26" spans="1:4" x14ac:dyDescent="0.3">
      <c r="A26" s="26" t="s">
        <v>47</v>
      </c>
      <c r="B26" s="27">
        <f>IFERROR(SUMIF(Dataset!B:B,A26,Dataset!Q:Q),0)</f>
        <v>83.05</v>
      </c>
      <c r="C26" s="22">
        <f>IFERROR(SUMIF(Dataset!B:B,A26,Dataset!K:K),0)</f>
        <v>0</v>
      </c>
      <c r="D26" s="28" t="str">
        <f>IFERROR(INDEX(Dataset!P:P,MATCH(A26,Dataset!B:B,0)),"Not Found")</f>
        <v>Not Placed</v>
      </c>
    </row>
    <row r="27" spans="1:4" x14ac:dyDescent="0.3">
      <c r="A27" s="26" t="s">
        <v>49</v>
      </c>
      <c r="B27" s="27">
        <f>IFERROR(SUMIF(Dataset!B:B,A27,Dataset!Q:Q),0)</f>
        <v>81.22</v>
      </c>
      <c r="C27" s="22">
        <f>IFERROR(SUMIF(Dataset!B:B,A27,Dataset!K:K),0)</f>
        <v>0</v>
      </c>
      <c r="D27" s="28" t="str">
        <f>IFERROR(INDEX(Dataset!P:P,MATCH(A27,Dataset!B:B,0)),"Not Found")</f>
        <v>Not Placed</v>
      </c>
    </row>
    <row r="28" spans="1:4" x14ac:dyDescent="0.3">
      <c r="A28" s="26" t="s">
        <v>51</v>
      </c>
      <c r="B28" s="27">
        <f>IFERROR(SUMIF(Dataset!B:B,A28,Dataset!Q:Q),0)</f>
        <v>73.33</v>
      </c>
      <c r="C28" s="22">
        <f>IFERROR(SUMIF(Dataset!B:B,A28,Dataset!K:K),0)</f>
        <v>5</v>
      </c>
      <c r="D28" s="28" t="str">
        <f>IFERROR(INDEX(Dataset!P:P,MATCH(A28,Dataset!B:B,0)),"Not Found")</f>
        <v>Placed</v>
      </c>
    </row>
    <row r="29" spans="1:4" x14ac:dyDescent="0.3">
      <c r="A29" s="26" t="s">
        <v>53</v>
      </c>
      <c r="B29" s="27">
        <f>IFERROR(SUMIF(Dataset!B:B,A29,Dataset!Q:Q),0)</f>
        <v>61.21</v>
      </c>
      <c r="C29" s="22">
        <f>IFERROR(SUMIF(Dataset!B:B,A29,Dataset!K:K),0)</f>
        <v>1</v>
      </c>
      <c r="D29" s="28" t="str">
        <f>IFERROR(INDEX(Dataset!P:P,MATCH(A29,Dataset!B:B,0)),"Not Found")</f>
        <v>Not Placed</v>
      </c>
    </row>
    <row r="30" spans="1:4" x14ac:dyDescent="0.3">
      <c r="A30" s="26" t="s">
        <v>55</v>
      </c>
      <c r="B30" s="27">
        <f>IFERROR(SUMIF(Dataset!B:B,A30,Dataset!Q:Q),0)</f>
        <v>72.39</v>
      </c>
      <c r="C30" s="22">
        <f>IFERROR(SUMIF(Dataset!B:B,A30,Dataset!K:K),0)</f>
        <v>5</v>
      </c>
      <c r="D30" s="28" t="str">
        <f>IFERROR(INDEX(Dataset!P:P,MATCH(A30,Dataset!B:B,0)),"Not Found")</f>
        <v>Not Placed</v>
      </c>
    </row>
    <row r="31" spans="1:4" x14ac:dyDescent="0.3">
      <c r="A31" s="26" t="s">
        <v>57</v>
      </c>
      <c r="B31" s="27">
        <f>IFERROR(SUMIF(Dataset!B:B,A31,Dataset!Q:Q),0)</f>
        <v>81.41</v>
      </c>
      <c r="C31" s="22">
        <f>IFERROR(SUMIF(Dataset!B:B,A31,Dataset!K:K),0)</f>
        <v>5</v>
      </c>
      <c r="D31" s="28" t="str">
        <f>IFERROR(INDEX(Dataset!P:P,MATCH(A31,Dataset!B:B,0)),"Not Found")</f>
        <v>Placed</v>
      </c>
    </row>
    <row r="32" spans="1:4" x14ac:dyDescent="0.3">
      <c r="A32" s="26" t="s">
        <v>59</v>
      </c>
      <c r="B32" s="27">
        <f>IFERROR(SUMIF(Dataset!B:B,A32,Dataset!Q:Q),0)</f>
        <v>64.19</v>
      </c>
      <c r="C32" s="22">
        <f>IFERROR(SUMIF(Dataset!B:B,A32,Dataset!K:K),0)</f>
        <v>0</v>
      </c>
      <c r="D32" s="28" t="str">
        <f>IFERROR(INDEX(Dataset!P:P,MATCH(A32,Dataset!B:B,0)),"Not Found")</f>
        <v>Not Placed</v>
      </c>
    </row>
    <row r="33" spans="1:4" x14ac:dyDescent="0.3">
      <c r="A33" s="26" t="s">
        <v>61</v>
      </c>
      <c r="B33" s="27">
        <f>IFERROR(SUMIF(Dataset!B:B,A33,Dataset!Q:Q),0)</f>
        <v>79.040000000000006</v>
      </c>
      <c r="C33" s="22">
        <f>IFERROR(SUMIF(Dataset!B:B,A33,Dataset!K:K),0)</f>
        <v>2</v>
      </c>
      <c r="D33" s="28" t="str">
        <f>IFERROR(INDEX(Dataset!P:P,MATCH(A33,Dataset!B:B,0)),"Not Found")</f>
        <v>Placed</v>
      </c>
    </row>
    <row r="34" spans="1:4" x14ac:dyDescent="0.3">
      <c r="A34" s="26" t="s">
        <v>63</v>
      </c>
      <c r="B34" s="27">
        <f>IFERROR(SUMIF(Dataset!B:B,A34,Dataset!Q:Q),0)</f>
        <v>71.81</v>
      </c>
      <c r="C34" s="22">
        <f>IFERROR(SUMIF(Dataset!B:B,A34,Dataset!K:K),0)</f>
        <v>5</v>
      </c>
      <c r="D34" s="28" t="str">
        <f>IFERROR(INDEX(Dataset!P:P,MATCH(A34,Dataset!B:B,0)),"Not Found")</f>
        <v>Not Placed</v>
      </c>
    </row>
    <row r="35" spans="1:4" x14ac:dyDescent="0.3">
      <c r="A35" s="26" t="s">
        <v>65</v>
      </c>
      <c r="B35" s="27">
        <f>IFERROR(SUMIF(Dataset!B:B,A35,Dataset!Q:Q),0)</f>
        <v>71.36</v>
      </c>
      <c r="C35" s="22">
        <f>IFERROR(SUMIF(Dataset!B:B,A35,Dataset!K:K),0)</f>
        <v>2</v>
      </c>
      <c r="D35" s="28" t="str">
        <f>IFERROR(INDEX(Dataset!P:P,MATCH(A35,Dataset!B:B,0)),"Not Found")</f>
        <v>Not Placed</v>
      </c>
    </row>
    <row r="36" spans="1:4" x14ac:dyDescent="0.3">
      <c r="A36" s="26" t="s">
        <v>67</v>
      </c>
      <c r="B36" s="27">
        <f>IFERROR(SUMIF(Dataset!B:B,A36,Dataset!Q:Q),0)</f>
        <v>69.569999999999993</v>
      </c>
      <c r="C36" s="22">
        <f>IFERROR(SUMIF(Dataset!B:B,A36,Dataset!K:K),0)</f>
        <v>2</v>
      </c>
      <c r="D36" s="28" t="str">
        <f>IFERROR(INDEX(Dataset!P:P,MATCH(A36,Dataset!B:B,0)),"Not Found")</f>
        <v>Placed</v>
      </c>
    </row>
    <row r="37" spans="1:4" x14ac:dyDescent="0.3">
      <c r="A37" s="26" t="s">
        <v>69</v>
      </c>
      <c r="B37" s="27">
        <f>IFERROR(SUMIF(Dataset!B:B,A37,Dataset!Q:Q),0)</f>
        <v>74.08</v>
      </c>
      <c r="C37" s="22">
        <f>IFERROR(SUMIF(Dataset!B:B,A37,Dataset!K:K),0)</f>
        <v>1</v>
      </c>
      <c r="D37" s="28" t="str">
        <f>IFERROR(INDEX(Dataset!P:P,MATCH(A37,Dataset!B:B,0)),"Not Found")</f>
        <v>Placed</v>
      </c>
    </row>
    <row r="38" spans="1:4" x14ac:dyDescent="0.3">
      <c r="A38" s="26" t="s">
        <v>71</v>
      </c>
      <c r="B38" s="27">
        <f>IFERROR(SUMIF(Dataset!B:B,A38,Dataset!Q:Q),0)</f>
        <v>68.33</v>
      </c>
      <c r="C38" s="22">
        <f>IFERROR(SUMIF(Dataset!B:B,A38,Dataset!K:K),0)</f>
        <v>2</v>
      </c>
      <c r="D38" s="28" t="str">
        <f>IFERROR(INDEX(Dataset!P:P,MATCH(A38,Dataset!B:B,0)),"Not Found")</f>
        <v>Not Placed</v>
      </c>
    </row>
    <row r="39" spans="1:4" x14ac:dyDescent="0.3">
      <c r="A39" s="26" t="s">
        <v>73</v>
      </c>
      <c r="B39" s="27">
        <f>IFERROR(SUMIF(Dataset!B:B,A39,Dataset!Q:Q),0)</f>
        <v>74.040000000000006</v>
      </c>
      <c r="C39" s="22">
        <f>IFERROR(SUMIF(Dataset!B:B,A39,Dataset!K:K),0)</f>
        <v>0</v>
      </c>
      <c r="D39" s="28" t="str">
        <f>IFERROR(INDEX(Dataset!P:P,MATCH(A39,Dataset!B:B,0)),"Not Found")</f>
        <v>Not Placed</v>
      </c>
    </row>
    <row r="40" spans="1:4" x14ac:dyDescent="0.3">
      <c r="A40" s="26" t="s">
        <v>75</v>
      </c>
      <c r="B40" s="27">
        <f>IFERROR(SUMIF(Dataset!B:B,A40,Dataset!Q:Q),0)</f>
        <v>91.62</v>
      </c>
      <c r="C40" s="22">
        <f>IFERROR(SUMIF(Dataset!B:B,A40,Dataset!K:K),0)</f>
        <v>3</v>
      </c>
      <c r="D40" s="28" t="str">
        <f>IFERROR(INDEX(Dataset!P:P,MATCH(A40,Dataset!B:B,0)),"Not Found")</f>
        <v>Placed</v>
      </c>
    </row>
    <row r="41" spans="1:4" x14ac:dyDescent="0.3">
      <c r="A41" s="26" t="s">
        <v>77</v>
      </c>
      <c r="B41" s="27">
        <f>IFERROR(SUMIF(Dataset!B:B,A41,Dataset!Q:Q),0)</f>
        <v>69.739999999999995</v>
      </c>
      <c r="C41" s="22">
        <f>IFERROR(SUMIF(Dataset!B:B,A41,Dataset!K:K),0)</f>
        <v>3</v>
      </c>
      <c r="D41" s="28" t="str">
        <f>IFERROR(INDEX(Dataset!P:P,MATCH(A41,Dataset!B:B,0)),"Not Found")</f>
        <v>Not Placed</v>
      </c>
    </row>
    <row r="42" spans="1:4" x14ac:dyDescent="0.3">
      <c r="A42" s="26" t="s">
        <v>79</v>
      </c>
      <c r="B42" s="27">
        <f>IFERROR(SUMIF(Dataset!B:B,A42,Dataset!Q:Q),0)</f>
        <v>83.78</v>
      </c>
      <c r="C42" s="22">
        <f>IFERROR(SUMIF(Dataset!B:B,A42,Dataset!K:K),0)</f>
        <v>4</v>
      </c>
      <c r="D42" s="28" t="str">
        <f>IFERROR(INDEX(Dataset!P:P,MATCH(A42,Dataset!B:B,0)),"Not Found")</f>
        <v>Placed</v>
      </c>
    </row>
    <row r="43" spans="1:4" x14ac:dyDescent="0.3">
      <c r="A43" s="26" t="s">
        <v>81</v>
      </c>
      <c r="B43" s="27">
        <f>IFERROR(SUMIF(Dataset!B:B,A43,Dataset!Q:Q),0)</f>
        <v>87.22</v>
      </c>
      <c r="C43" s="22">
        <f>IFERROR(SUMIF(Dataset!B:B,A43,Dataset!K:K),0)</f>
        <v>5</v>
      </c>
      <c r="D43" s="28" t="str">
        <f>IFERROR(INDEX(Dataset!P:P,MATCH(A43,Dataset!B:B,0)),"Not Found")</f>
        <v>Not Placed</v>
      </c>
    </row>
    <row r="44" spans="1:4" x14ac:dyDescent="0.3">
      <c r="A44" s="26" t="s">
        <v>83</v>
      </c>
      <c r="B44" s="27">
        <f>IFERROR(SUMIF(Dataset!B:B,A44,Dataset!Q:Q),0)</f>
        <v>76.8</v>
      </c>
      <c r="C44" s="22">
        <f>IFERROR(SUMIF(Dataset!B:B,A44,Dataset!K:K),0)</f>
        <v>0</v>
      </c>
      <c r="D44" s="28" t="str">
        <f>IFERROR(INDEX(Dataset!P:P,MATCH(A44,Dataset!B:B,0)),"Not Found")</f>
        <v>Not Placed</v>
      </c>
    </row>
    <row r="45" spans="1:4" x14ac:dyDescent="0.3">
      <c r="A45" s="26" t="s">
        <v>85</v>
      </c>
      <c r="B45" s="27">
        <f>IFERROR(SUMIF(Dataset!B:B,A45,Dataset!Q:Q),0)</f>
        <v>71.55</v>
      </c>
      <c r="C45" s="22">
        <f>IFERROR(SUMIF(Dataset!B:B,A45,Dataset!K:K),0)</f>
        <v>2</v>
      </c>
      <c r="D45" s="28" t="str">
        <f>IFERROR(INDEX(Dataset!P:P,MATCH(A45,Dataset!B:B,0)),"Not Found")</f>
        <v>Placed</v>
      </c>
    </row>
    <row r="46" spans="1:4" x14ac:dyDescent="0.3">
      <c r="A46" s="26" t="s">
        <v>87</v>
      </c>
      <c r="B46" s="27">
        <f>IFERROR(SUMIF(Dataset!B:B,A46,Dataset!Q:Q),0)</f>
        <v>87.28</v>
      </c>
      <c r="C46" s="22">
        <f>IFERROR(SUMIF(Dataset!B:B,A46,Dataset!K:K),0)</f>
        <v>3</v>
      </c>
      <c r="D46" s="28" t="str">
        <f>IFERROR(INDEX(Dataset!P:P,MATCH(A46,Dataset!B:B,0)),"Not Found")</f>
        <v>Placed</v>
      </c>
    </row>
    <row r="47" spans="1:4" x14ac:dyDescent="0.3">
      <c r="A47" s="26" t="s">
        <v>89</v>
      </c>
      <c r="B47" s="27">
        <f>IFERROR(SUMIF(Dataset!B:B,A47,Dataset!Q:Q),0)</f>
        <v>91.51</v>
      </c>
      <c r="C47" s="22">
        <f>IFERROR(SUMIF(Dataset!B:B,A47,Dataset!K:K),0)</f>
        <v>0</v>
      </c>
      <c r="D47" s="28" t="str">
        <f>IFERROR(INDEX(Dataset!P:P,MATCH(A47,Dataset!B:B,0)),"Not Found")</f>
        <v>Placed</v>
      </c>
    </row>
    <row r="48" spans="1:4" x14ac:dyDescent="0.3">
      <c r="A48" s="26" t="s">
        <v>91</v>
      </c>
      <c r="B48" s="27">
        <f>IFERROR(SUMIF(Dataset!B:B,A48,Dataset!Q:Q),0)</f>
        <v>79.84</v>
      </c>
      <c r="C48" s="22">
        <f>IFERROR(SUMIF(Dataset!B:B,A48,Dataset!K:K),0)</f>
        <v>3</v>
      </c>
      <c r="D48" s="28" t="str">
        <f>IFERROR(INDEX(Dataset!P:P,MATCH(A48,Dataset!B:B,0)),"Not Found")</f>
        <v>Placed</v>
      </c>
    </row>
    <row r="49" spans="1:4" x14ac:dyDescent="0.3">
      <c r="A49" s="26" t="s">
        <v>93</v>
      </c>
      <c r="B49" s="27">
        <f>IFERROR(SUMIF(Dataset!B:B,A49,Dataset!Q:Q),0)</f>
        <v>89.35</v>
      </c>
      <c r="C49" s="22">
        <f>IFERROR(SUMIF(Dataset!B:B,A49,Dataset!K:K),0)</f>
        <v>2</v>
      </c>
      <c r="D49" s="28" t="str">
        <f>IFERROR(INDEX(Dataset!P:P,MATCH(A49,Dataset!B:B,0)),"Not Found")</f>
        <v>Placed</v>
      </c>
    </row>
    <row r="50" spans="1:4" x14ac:dyDescent="0.3">
      <c r="A50" s="26" t="s">
        <v>95</v>
      </c>
      <c r="B50" s="27">
        <f>IFERROR(SUMIF(Dataset!B:B,A50,Dataset!Q:Q),0)</f>
        <v>79.14</v>
      </c>
      <c r="C50" s="22">
        <f>IFERROR(SUMIF(Dataset!B:B,A50,Dataset!K:K),0)</f>
        <v>3</v>
      </c>
      <c r="D50" s="28" t="str">
        <f>IFERROR(INDEX(Dataset!P:P,MATCH(A50,Dataset!B:B,0)),"Not Found")</f>
        <v>Placed</v>
      </c>
    </row>
    <row r="51" spans="1:4" x14ac:dyDescent="0.3">
      <c r="A51" s="26" t="s">
        <v>97</v>
      </c>
      <c r="B51" s="27">
        <f>IFERROR(SUMIF(Dataset!B:B,A51,Dataset!Q:Q),0)</f>
        <v>75.63</v>
      </c>
      <c r="C51" s="22">
        <f>IFERROR(SUMIF(Dataset!B:B,A51,Dataset!K:K),0)</f>
        <v>5</v>
      </c>
      <c r="D51" s="28" t="str">
        <f>IFERROR(INDEX(Dataset!P:P,MATCH(A51,Dataset!B:B,0)),"Not Found")</f>
        <v>Placed</v>
      </c>
    </row>
    <row r="52" spans="1:4" x14ac:dyDescent="0.3">
      <c r="A52" s="26" t="s">
        <v>99</v>
      </c>
      <c r="B52" s="27">
        <f>IFERROR(SUMIF(Dataset!B:B,A52,Dataset!Q:Q),0)</f>
        <v>64.930000000000007</v>
      </c>
      <c r="C52" s="22">
        <f>IFERROR(SUMIF(Dataset!B:B,A52,Dataset!K:K),0)</f>
        <v>5</v>
      </c>
      <c r="D52" s="28" t="str">
        <f>IFERROR(INDEX(Dataset!P:P,MATCH(A52,Dataset!B:B,0)),"Not Found")</f>
        <v>Placed</v>
      </c>
    </row>
    <row r="53" spans="1:4" x14ac:dyDescent="0.3">
      <c r="A53" s="26" t="s">
        <v>101</v>
      </c>
      <c r="B53" s="27">
        <f>IFERROR(SUMIF(Dataset!B:B,A53,Dataset!Q:Q),0)</f>
        <v>85.13</v>
      </c>
      <c r="C53" s="22">
        <f>IFERROR(SUMIF(Dataset!B:B,A53,Dataset!K:K),0)</f>
        <v>4</v>
      </c>
      <c r="D53" s="28" t="str">
        <f>IFERROR(INDEX(Dataset!P:P,MATCH(A53,Dataset!B:B,0)),"Not Found")</f>
        <v>Placed</v>
      </c>
    </row>
    <row r="54" spans="1:4" x14ac:dyDescent="0.3">
      <c r="A54" s="26" t="s">
        <v>103</v>
      </c>
      <c r="B54" s="27">
        <f>IFERROR(SUMIF(Dataset!B:B,A54,Dataset!Q:Q),0)</f>
        <v>72.010000000000005</v>
      </c>
      <c r="C54" s="22">
        <f>IFERROR(SUMIF(Dataset!B:B,A54,Dataset!K:K),0)</f>
        <v>4</v>
      </c>
      <c r="D54" s="28" t="str">
        <f>IFERROR(INDEX(Dataset!P:P,MATCH(A54,Dataset!B:B,0)),"Not Found")</f>
        <v>Placed</v>
      </c>
    </row>
    <row r="55" spans="1:4" x14ac:dyDescent="0.3">
      <c r="A55" s="26" t="s">
        <v>105</v>
      </c>
      <c r="B55" s="27">
        <f>IFERROR(SUMIF(Dataset!B:B,A55,Dataset!Q:Q),0)</f>
        <v>83.01</v>
      </c>
      <c r="C55" s="22">
        <f>IFERROR(SUMIF(Dataset!B:B,A55,Dataset!K:K),0)</f>
        <v>3</v>
      </c>
      <c r="D55" s="28" t="str">
        <f>IFERROR(INDEX(Dataset!P:P,MATCH(A55,Dataset!B:B,0)),"Not Found")</f>
        <v>Placed</v>
      </c>
    </row>
    <row r="56" spans="1:4" x14ac:dyDescent="0.3">
      <c r="A56" s="26" t="s">
        <v>107</v>
      </c>
      <c r="B56" s="27">
        <f>IFERROR(SUMIF(Dataset!B:B,A56,Dataset!Q:Q),0)</f>
        <v>76.59</v>
      </c>
      <c r="C56" s="22">
        <f>IFERROR(SUMIF(Dataset!B:B,A56,Dataset!K:K),0)</f>
        <v>0</v>
      </c>
      <c r="D56" s="28" t="str">
        <f>IFERROR(INDEX(Dataset!P:P,MATCH(A56,Dataset!B:B,0)),"Not Found")</f>
        <v>Not Placed</v>
      </c>
    </row>
    <row r="57" spans="1:4" x14ac:dyDescent="0.3">
      <c r="A57" s="26" t="s">
        <v>109</v>
      </c>
      <c r="B57" s="27">
        <f>IFERROR(SUMIF(Dataset!B:B,A57,Dataset!Q:Q),0)</f>
        <v>80.78</v>
      </c>
      <c r="C57" s="22">
        <f>IFERROR(SUMIF(Dataset!B:B,A57,Dataset!K:K),0)</f>
        <v>5</v>
      </c>
      <c r="D57" s="28" t="str">
        <f>IFERROR(INDEX(Dataset!P:P,MATCH(A57,Dataset!B:B,0)),"Not Found")</f>
        <v>Placed</v>
      </c>
    </row>
    <row r="58" spans="1:4" x14ac:dyDescent="0.3">
      <c r="A58" s="26" t="s">
        <v>111</v>
      </c>
      <c r="B58" s="27">
        <f>IFERROR(SUMIF(Dataset!B:B,A58,Dataset!Q:Q),0)</f>
        <v>88.51</v>
      </c>
      <c r="C58" s="22">
        <f>IFERROR(SUMIF(Dataset!B:B,A58,Dataset!K:K),0)</f>
        <v>0</v>
      </c>
      <c r="D58" s="28" t="str">
        <f>IFERROR(INDEX(Dataset!P:P,MATCH(A58,Dataset!B:B,0)),"Not Found")</f>
        <v>Placed</v>
      </c>
    </row>
    <row r="59" spans="1:4" x14ac:dyDescent="0.3">
      <c r="A59" s="26" t="s">
        <v>113</v>
      </c>
      <c r="B59" s="27">
        <f>IFERROR(SUMIF(Dataset!B:B,A59,Dataset!Q:Q),0)</f>
        <v>70.599999999999994</v>
      </c>
      <c r="C59" s="22">
        <f>IFERROR(SUMIF(Dataset!B:B,A59,Dataset!K:K),0)</f>
        <v>0</v>
      </c>
      <c r="D59" s="28" t="str">
        <f>IFERROR(INDEX(Dataset!P:P,MATCH(A59,Dataset!B:B,0)),"Not Found")</f>
        <v>Not Placed</v>
      </c>
    </row>
    <row r="60" spans="1:4" x14ac:dyDescent="0.3">
      <c r="A60" s="26" t="s">
        <v>115</v>
      </c>
      <c r="B60" s="27">
        <f>IFERROR(SUMIF(Dataset!B:B,A60,Dataset!Q:Q),0)</f>
        <v>63.89</v>
      </c>
      <c r="C60" s="22">
        <f>IFERROR(SUMIF(Dataset!B:B,A60,Dataset!K:K),0)</f>
        <v>3</v>
      </c>
      <c r="D60" s="28" t="str">
        <f>IFERROR(INDEX(Dataset!P:P,MATCH(A60,Dataset!B:B,0)),"Not Found")</f>
        <v>Not Placed</v>
      </c>
    </row>
    <row r="61" spans="1:4" x14ac:dyDescent="0.3">
      <c r="A61" s="26" t="s">
        <v>117</v>
      </c>
      <c r="B61" s="27">
        <f>IFERROR(SUMIF(Dataset!B:B,A61,Dataset!Q:Q),0)</f>
        <v>64.48</v>
      </c>
      <c r="C61" s="22">
        <f>IFERROR(SUMIF(Dataset!B:B,A61,Dataset!K:K),0)</f>
        <v>0</v>
      </c>
      <c r="D61" s="28" t="str">
        <f>IFERROR(INDEX(Dataset!P:P,MATCH(A61,Dataset!B:B,0)),"Not Found")</f>
        <v>Not Placed</v>
      </c>
    </row>
    <row r="62" spans="1:4" x14ac:dyDescent="0.3">
      <c r="A62" s="26" t="s">
        <v>119</v>
      </c>
      <c r="B62" s="27">
        <f>IFERROR(SUMIF(Dataset!B:B,A62,Dataset!Q:Q),0)</f>
        <v>73.52</v>
      </c>
      <c r="C62" s="22">
        <f>IFERROR(SUMIF(Dataset!B:B,A62,Dataset!K:K),0)</f>
        <v>5</v>
      </c>
      <c r="D62" s="28" t="str">
        <f>IFERROR(INDEX(Dataset!P:P,MATCH(A62,Dataset!B:B,0)),"Not Found")</f>
        <v>Placed</v>
      </c>
    </row>
    <row r="63" spans="1:4" x14ac:dyDescent="0.3">
      <c r="A63" s="26" t="s">
        <v>121</v>
      </c>
      <c r="B63" s="27">
        <f>IFERROR(SUMIF(Dataset!B:B,A63,Dataset!Q:Q),0)</f>
        <v>74.69</v>
      </c>
      <c r="C63" s="22">
        <f>IFERROR(SUMIF(Dataset!B:B,A63,Dataset!K:K),0)</f>
        <v>2</v>
      </c>
      <c r="D63" s="28" t="str">
        <f>IFERROR(INDEX(Dataset!P:P,MATCH(A63,Dataset!B:B,0)),"Not Found")</f>
        <v>Not Placed</v>
      </c>
    </row>
    <row r="64" spans="1:4" x14ac:dyDescent="0.3">
      <c r="A64" s="26" t="s">
        <v>123</v>
      </c>
      <c r="B64" s="27">
        <f>IFERROR(SUMIF(Dataset!B:B,A64,Dataset!Q:Q),0)</f>
        <v>75.08</v>
      </c>
      <c r="C64" s="22">
        <f>IFERROR(SUMIF(Dataset!B:B,A64,Dataset!K:K),0)</f>
        <v>4</v>
      </c>
      <c r="D64" s="28" t="str">
        <f>IFERROR(INDEX(Dataset!P:P,MATCH(A64,Dataset!B:B,0)),"Not Found")</f>
        <v>Not Placed</v>
      </c>
    </row>
    <row r="65" spans="1:4" x14ac:dyDescent="0.3">
      <c r="A65" s="26" t="s">
        <v>125</v>
      </c>
      <c r="B65" s="27">
        <f>IFERROR(SUMIF(Dataset!B:B,A65,Dataset!Q:Q),0)</f>
        <v>93.65</v>
      </c>
      <c r="C65" s="22">
        <f>IFERROR(SUMIF(Dataset!B:B,A65,Dataset!K:K),0)</f>
        <v>2</v>
      </c>
      <c r="D65" s="28" t="str">
        <f>IFERROR(INDEX(Dataset!P:P,MATCH(A65,Dataset!B:B,0)),"Not Found")</f>
        <v>Placed</v>
      </c>
    </row>
    <row r="66" spans="1:4" x14ac:dyDescent="0.3">
      <c r="A66" s="26" t="s">
        <v>127</v>
      </c>
      <c r="B66" s="27">
        <f>IFERROR(SUMIF(Dataset!B:B,A66,Dataset!Q:Q),0)</f>
        <v>81.45</v>
      </c>
      <c r="C66" s="22">
        <f>IFERROR(SUMIF(Dataset!B:B,A66,Dataset!K:K),0)</f>
        <v>0</v>
      </c>
      <c r="D66" s="28" t="str">
        <f>IFERROR(INDEX(Dataset!P:P,MATCH(A66,Dataset!B:B,0)),"Not Found")</f>
        <v>Not Placed</v>
      </c>
    </row>
    <row r="67" spans="1:4" x14ac:dyDescent="0.3">
      <c r="A67" s="26" t="s">
        <v>129</v>
      </c>
      <c r="B67" s="27">
        <f>IFERROR(SUMIF(Dataset!B:B,A67,Dataset!Q:Q),0)</f>
        <v>75</v>
      </c>
      <c r="C67" s="22">
        <f>IFERROR(SUMIF(Dataset!B:B,A67,Dataset!K:K),0)</f>
        <v>2</v>
      </c>
      <c r="D67" s="28" t="str">
        <f>IFERROR(INDEX(Dataset!P:P,MATCH(A67,Dataset!B:B,0)),"Not Found")</f>
        <v>Placed</v>
      </c>
    </row>
    <row r="68" spans="1:4" x14ac:dyDescent="0.3">
      <c r="A68" s="26" t="s">
        <v>131</v>
      </c>
      <c r="B68" s="27">
        <f>IFERROR(SUMIF(Dataset!B:B,A68,Dataset!Q:Q),0)</f>
        <v>64.260000000000005</v>
      </c>
      <c r="C68" s="22">
        <f>IFERROR(SUMIF(Dataset!B:B,A68,Dataset!K:K),0)</f>
        <v>5</v>
      </c>
      <c r="D68" s="28" t="str">
        <f>IFERROR(INDEX(Dataset!P:P,MATCH(A68,Dataset!B:B,0)),"Not Found")</f>
        <v>Placed</v>
      </c>
    </row>
    <row r="69" spans="1:4" x14ac:dyDescent="0.3">
      <c r="A69" s="26" t="s">
        <v>133</v>
      </c>
      <c r="B69" s="27">
        <f>IFERROR(SUMIF(Dataset!B:B,A69,Dataset!Q:Q),0)</f>
        <v>82.14</v>
      </c>
      <c r="C69" s="22">
        <f>IFERROR(SUMIF(Dataset!B:B,A69,Dataset!K:K),0)</f>
        <v>5</v>
      </c>
      <c r="D69" s="28" t="str">
        <f>IFERROR(INDEX(Dataset!P:P,MATCH(A69,Dataset!B:B,0)),"Not Found")</f>
        <v>Placed</v>
      </c>
    </row>
    <row r="70" spans="1:4" x14ac:dyDescent="0.3">
      <c r="A70" s="26" t="s">
        <v>135</v>
      </c>
      <c r="B70" s="27">
        <f>IFERROR(SUMIF(Dataset!B:B,A70,Dataset!Q:Q),0)</f>
        <v>79.739999999999995</v>
      </c>
      <c r="C70" s="22">
        <f>IFERROR(SUMIF(Dataset!B:B,A70,Dataset!K:K),0)</f>
        <v>0</v>
      </c>
      <c r="D70" s="28" t="str">
        <f>IFERROR(INDEX(Dataset!P:P,MATCH(A70,Dataset!B:B,0)),"Not Found")</f>
        <v>Placed</v>
      </c>
    </row>
    <row r="71" spans="1:4" x14ac:dyDescent="0.3">
      <c r="A71" s="26" t="s">
        <v>137</v>
      </c>
      <c r="B71" s="27">
        <f>IFERROR(SUMIF(Dataset!B:B,A71,Dataset!Q:Q),0)</f>
        <v>80.819999999999993</v>
      </c>
      <c r="C71" s="22">
        <f>IFERROR(SUMIF(Dataset!B:B,A71,Dataset!K:K),0)</f>
        <v>3</v>
      </c>
      <c r="D71" s="28" t="str">
        <f>IFERROR(INDEX(Dataset!P:P,MATCH(A71,Dataset!B:B,0)),"Not Found")</f>
        <v>Placed</v>
      </c>
    </row>
    <row r="72" spans="1:4" x14ac:dyDescent="0.3">
      <c r="A72" s="26" t="s">
        <v>139</v>
      </c>
      <c r="B72" s="27">
        <f>IFERROR(SUMIF(Dataset!B:B,A72,Dataset!Q:Q),0)</f>
        <v>71.7</v>
      </c>
      <c r="C72" s="22">
        <f>IFERROR(SUMIF(Dataset!B:B,A72,Dataset!K:K),0)</f>
        <v>2</v>
      </c>
      <c r="D72" s="28" t="str">
        <f>IFERROR(INDEX(Dataset!P:P,MATCH(A72,Dataset!B:B,0)),"Not Found")</f>
        <v>Placed</v>
      </c>
    </row>
    <row r="73" spans="1:4" x14ac:dyDescent="0.3">
      <c r="A73" s="26" t="s">
        <v>141</v>
      </c>
      <c r="B73" s="27">
        <f>IFERROR(SUMIF(Dataset!B:B,A73,Dataset!Q:Q),0)</f>
        <v>64.36</v>
      </c>
      <c r="C73" s="22">
        <f>IFERROR(SUMIF(Dataset!B:B,A73,Dataset!K:K),0)</f>
        <v>3</v>
      </c>
      <c r="D73" s="28" t="str">
        <f>IFERROR(INDEX(Dataset!P:P,MATCH(A73,Dataset!B:B,0)),"Not Found")</f>
        <v>Not Placed</v>
      </c>
    </row>
    <row r="74" spans="1:4" x14ac:dyDescent="0.3">
      <c r="A74" s="26" t="s">
        <v>143</v>
      </c>
      <c r="B74" s="27">
        <f>IFERROR(SUMIF(Dataset!B:B,A74,Dataset!Q:Q),0)</f>
        <v>74.62</v>
      </c>
      <c r="C74" s="22">
        <f>IFERROR(SUMIF(Dataset!B:B,A74,Dataset!K:K),0)</f>
        <v>3</v>
      </c>
      <c r="D74" s="28" t="str">
        <f>IFERROR(INDEX(Dataset!P:P,MATCH(A74,Dataset!B:B,0)),"Not Found")</f>
        <v>Not Placed</v>
      </c>
    </row>
    <row r="75" spans="1:4" x14ac:dyDescent="0.3">
      <c r="A75" s="26" t="s">
        <v>145</v>
      </c>
      <c r="B75" s="27">
        <f>IFERROR(SUMIF(Dataset!B:B,A75,Dataset!Q:Q),0)</f>
        <v>77.88</v>
      </c>
      <c r="C75" s="22">
        <f>IFERROR(SUMIF(Dataset!B:B,A75,Dataset!K:K),0)</f>
        <v>1</v>
      </c>
      <c r="D75" s="28" t="str">
        <f>IFERROR(INDEX(Dataset!P:P,MATCH(A75,Dataset!B:B,0)),"Not Found")</f>
        <v>Not Placed</v>
      </c>
    </row>
    <row r="76" spans="1:4" x14ac:dyDescent="0.3">
      <c r="A76" s="26" t="s">
        <v>147</v>
      </c>
      <c r="B76" s="27">
        <f>IFERROR(SUMIF(Dataset!B:B,A76,Dataset!Q:Q),0)</f>
        <v>75.180000000000007</v>
      </c>
      <c r="C76" s="22">
        <f>IFERROR(SUMIF(Dataset!B:B,A76,Dataset!K:K),0)</f>
        <v>0</v>
      </c>
      <c r="D76" s="28" t="str">
        <f>IFERROR(INDEX(Dataset!P:P,MATCH(A76,Dataset!B:B,0)),"Not Found")</f>
        <v>Placed</v>
      </c>
    </row>
    <row r="77" spans="1:4" x14ac:dyDescent="0.3">
      <c r="A77" s="26" t="s">
        <v>149</v>
      </c>
      <c r="B77" s="27">
        <f>IFERROR(SUMIF(Dataset!B:B,A77,Dataset!Q:Q),0)</f>
        <v>80.7</v>
      </c>
      <c r="C77" s="22">
        <f>IFERROR(SUMIF(Dataset!B:B,A77,Dataset!K:K),0)</f>
        <v>4</v>
      </c>
      <c r="D77" s="28" t="str">
        <f>IFERROR(INDEX(Dataset!P:P,MATCH(A77,Dataset!B:B,0)),"Not Found")</f>
        <v>Placed</v>
      </c>
    </row>
    <row r="78" spans="1:4" x14ac:dyDescent="0.3">
      <c r="A78" s="26" t="s">
        <v>151</v>
      </c>
      <c r="B78" s="27">
        <f>IFERROR(SUMIF(Dataset!B:B,A78,Dataset!Q:Q),0)</f>
        <v>56.34</v>
      </c>
      <c r="C78" s="22">
        <f>IFERROR(SUMIF(Dataset!B:B,A78,Dataset!K:K),0)</f>
        <v>5</v>
      </c>
      <c r="D78" s="28" t="str">
        <f>IFERROR(INDEX(Dataset!P:P,MATCH(A78,Dataset!B:B,0)),"Not Found")</f>
        <v>Placed</v>
      </c>
    </row>
    <row r="79" spans="1:4" x14ac:dyDescent="0.3">
      <c r="A79" s="26" t="s">
        <v>153</v>
      </c>
      <c r="B79" s="27">
        <f>IFERROR(SUMIF(Dataset!B:B,A79,Dataset!Q:Q),0)</f>
        <v>61.64</v>
      </c>
      <c r="C79" s="22">
        <f>IFERROR(SUMIF(Dataset!B:B,A79,Dataset!K:K),0)</f>
        <v>5</v>
      </c>
      <c r="D79" s="28" t="str">
        <f>IFERROR(INDEX(Dataset!P:P,MATCH(A79,Dataset!B:B,0)),"Not Found")</f>
        <v>Not Placed</v>
      </c>
    </row>
    <row r="80" spans="1:4" x14ac:dyDescent="0.3">
      <c r="A80" s="26" t="s">
        <v>155</v>
      </c>
      <c r="B80" s="27">
        <f>IFERROR(SUMIF(Dataset!B:B,A80,Dataset!Q:Q),0)</f>
        <v>78.739999999999995</v>
      </c>
      <c r="C80" s="22">
        <f>IFERROR(SUMIF(Dataset!B:B,A80,Dataset!K:K),0)</f>
        <v>0</v>
      </c>
      <c r="D80" s="28" t="str">
        <f>IFERROR(INDEX(Dataset!P:P,MATCH(A80,Dataset!B:B,0)),"Not Found")</f>
        <v>Not Placed</v>
      </c>
    </row>
    <row r="81" spans="1:4" x14ac:dyDescent="0.3">
      <c r="A81" s="26" t="s">
        <v>157</v>
      </c>
      <c r="B81" s="27">
        <f>IFERROR(SUMIF(Dataset!B:B,A81,Dataset!Q:Q),0)</f>
        <v>73.31</v>
      </c>
      <c r="C81" s="22">
        <f>IFERROR(SUMIF(Dataset!B:B,A81,Dataset!K:K),0)</f>
        <v>4</v>
      </c>
      <c r="D81" s="28" t="str">
        <f>IFERROR(INDEX(Dataset!P:P,MATCH(A81,Dataset!B:B,0)),"Not Found")</f>
        <v>Not Placed</v>
      </c>
    </row>
    <row r="82" spans="1:4" x14ac:dyDescent="0.3">
      <c r="A82" s="26" t="s">
        <v>159</v>
      </c>
      <c r="B82" s="27">
        <f>IFERROR(SUMIF(Dataset!B:B,A82,Dataset!Q:Q),0)</f>
        <v>85.18</v>
      </c>
      <c r="C82" s="22">
        <f>IFERROR(SUMIF(Dataset!B:B,A82,Dataset!K:K),0)</f>
        <v>5</v>
      </c>
      <c r="D82" s="28" t="str">
        <f>IFERROR(INDEX(Dataset!P:P,MATCH(A82,Dataset!B:B,0)),"Not Found")</f>
        <v>Placed</v>
      </c>
    </row>
    <row r="83" spans="1:4" x14ac:dyDescent="0.3">
      <c r="A83" s="26" t="s">
        <v>161</v>
      </c>
      <c r="B83" s="27">
        <f>IFERROR(SUMIF(Dataset!B:B,A83,Dataset!Q:Q),0)</f>
        <v>81.91</v>
      </c>
      <c r="C83" s="22">
        <f>IFERROR(SUMIF(Dataset!B:B,A83,Dataset!K:K),0)</f>
        <v>0</v>
      </c>
      <c r="D83" s="28" t="str">
        <f>IFERROR(INDEX(Dataset!P:P,MATCH(A83,Dataset!B:B,0)),"Not Found")</f>
        <v>Placed</v>
      </c>
    </row>
    <row r="84" spans="1:4" x14ac:dyDescent="0.3">
      <c r="A84" s="26" t="s">
        <v>163</v>
      </c>
      <c r="B84" s="27">
        <f>IFERROR(SUMIF(Dataset!B:B,A84,Dataset!Q:Q),0)</f>
        <v>69.81</v>
      </c>
      <c r="C84" s="22">
        <f>IFERROR(SUMIF(Dataset!B:B,A84,Dataset!K:K),0)</f>
        <v>5</v>
      </c>
      <c r="D84" s="28" t="str">
        <f>IFERROR(INDEX(Dataset!P:P,MATCH(A84,Dataset!B:B,0)),"Not Found")</f>
        <v>Not Placed</v>
      </c>
    </row>
    <row r="85" spans="1:4" x14ac:dyDescent="0.3">
      <c r="A85" s="26" t="s">
        <v>165</v>
      </c>
      <c r="B85" s="27">
        <f>IFERROR(SUMIF(Dataset!B:B,A85,Dataset!Q:Q),0)</f>
        <v>75.12</v>
      </c>
      <c r="C85" s="22">
        <f>IFERROR(SUMIF(Dataset!B:B,A85,Dataset!K:K),0)</f>
        <v>3</v>
      </c>
      <c r="D85" s="28" t="str">
        <f>IFERROR(INDEX(Dataset!P:P,MATCH(A85,Dataset!B:B,0)),"Not Found")</f>
        <v>Placed</v>
      </c>
    </row>
    <row r="86" spans="1:4" x14ac:dyDescent="0.3">
      <c r="A86" s="26" t="s">
        <v>167</v>
      </c>
      <c r="B86" s="27">
        <f>IFERROR(SUMIF(Dataset!B:B,A86,Dataset!Q:Q),0)</f>
        <v>73.56</v>
      </c>
      <c r="C86" s="22">
        <f>IFERROR(SUMIF(Dataset!B:B,A86,Dataset!K:K),0)</f>
        <v>2</v>
      </c>
      <c r="D86" s="28" t="str">
        <f>IFERROR(INDEX(Dataset!P:P,MATCH(A86,Dataset!B:B,0)),"Not Found")</f>
        <v>Placed</v>
      </c>
    </row>
    <row r="87" spans="1:4" x14ac:dyDescent="0.3">
      <c r="A87" s="26" t="s">
        <v>169</v>
      </c>
      <c r="B87" s="27">
        <f>IFERROR(SUMIF(Dataset!B:B,A87,Dataset!Q:Q),0)</f>
        <v>86.36</v>
      </c>
      <c r="C87" s="22">
        <f>IFERROR(SUMIF(Dataset!B:B,A87,Dataset!K:K),0)</f>
        <v>2</v>
      </c>
      <c r="D87" s="28" t="str">
        <f>IFERROR(INDEX(Dataset!P:P,MATCH(A87,Dataset!B:B,0)),"Not Found")</f>
        <v>Not Placed</v>
      </c>
    </row>
    <row r="88" spans="1:4" x14ac:dyDescent="0.3">
      <c r="A88" s="26" t="s">
        <v>171</v>
      </c>
      <c r="B88" s="27">
        <f>IFERROR(SUMIF(Dataset!B:B,A88,Dataset!Q:Q),0)</f>
        <v>69.95</v>
      </c>
      <c r="C88" s="22">
        <f>IFERROR(SUMIF(Dataset!B:B,A88,Dataset!K:K),0)</f>
        <v>5</v>
      </c>
      <c r="D88" s="28" t="str">
        <f>IFERROR(INDEX(Dataset!P:P,MATCH(A88,Dataset!B:B,0)),"Not Found")</f>
        <v>Placed</v>
      </c>
    </row>
    <row r="89" spans="1:4" x14ac:dyDescent="0.3">
      <c r="A89" s="26" t="s">
        <v>173</v>
      </c>
      <c r="B89" s="27">
        <f>IFERROR(SUMIF(Dataset!B:B,A89,Dataset!Q:Q),0)</f>
        <v>78.03</v>
      </c>
      <c r="C89" s="22">
        <f>IFERROR(SUMIF(Dataset!B:B,A89,Dataset!K:K),0)</f>
        <v>1</v>
      </c>
      <c r="D89" s="28" t="str">
        <f>IFERROR(INDEX(Dataset!P:P,MATCH(A89,Dataset!B:B,0)),"Not Found")</f>
        <v>Not Placed</v>
      </c>
    </row>
    <row r="90" spans="1:4" x14ac:dyDescent="0.3">
      <c r="A90" s="26" t="s">
        <v>175</v>
      </c>
      <c r="B90" s="27">
        <f>IFERROR(SUMIF(Dataset!B:B,A90,Dataset!Q:Q),0)</f>
        <v>84.23</v>
      </c>
      <c r="C90" s="22">
        <f>IFERROR(SUMIF(Dataset!B:B,A90,Dataset!K:K),0)</f>
        <v>4</v>
      </c>
      <c r="D90" s="28" t="str">
        <f>IFERROR(INDEX(Dataset!P:P,MATCH(A90,Dataset!B:B,0)),"Not Found")</f>
        <v>Not Placed</v>
      </c>
    </row>
    <row r="91" spans="1:4" x14ac:dyDescent="0.3">
      <c r="A91" s="26" t="s">
        <v>177</v>
      </c>
      <c r="B91" s="27">
        <f>IFERROR(SUMIF(Dataset!B:B,A91,Dataset!Q:Q),0)</f>
        <v>83.79</v>
      </c>
      <c r="C91" s="22">
        <f>IFERROR(SUMIF(Dataset!B:B,A91,Dataset!K:K),0)</f>
        <v>4</v>
      </c>
      <c r="D91" s="28" t="str">
        <f>IFERROR(INDEX(Dataset!P:P,MATCH(A91,Dataset!B:B,0)),"Not Found")</f>
        <v>Placed</v>
      </c>
    </row>
    <row r="92" spans="1:4" x14ac:dyDescent="0.3">
      <c r="A92" s="26" t="s">
        <v>179</v>
      </c>
      <c r="B92" s="27">
        <f>IFERROR(SUMIF(Dataset!B:B,A92,Dataset!Q:Q),0)</f>
        <v>62.36</v>
      </c>
      <c r="C92" s="22">
        <f>IFERROR(SUMIF(Dataset!B:B,A92,Dataset!K:K),0)</f>
        <v>4</v>
      </c>
      <c r="D92" s="28" t="str">
        <f>IFERROR(INDEX(Dataset!P:P,MATCH(A92,Dataset!B:B,0)),"Not Found")</f>
        <v>Not Placed</v>
      </c>
    </row>
    <row r="93" spans="1:4" x14ac:dyDescent="0.3">
      <c r="A93" s="26" t="s">
        <v>181</v>
      </c>
      <c r="B93" s="27">
        <f>IFERROR(SUMIF(Dataset!B:B,A93,Dataset!Q:Q),0)</f>
        <v>71.180000000000007</v>
      </c>
      <c r="C93" s="22">
        <f>IFERROR(SUMIF(Dataset!B:B,A93,Dataset!K:K),0)</f>
        <v>3</v>
      </c>
      <c r="D93" s="28" t="str">
        <f>IFERROR(INDEX(Dataset!P:P,MATCH(A93,Dataset!B:B,0)),"Not Found")</f>
        <v>Placed</v>
      </c>
    </row>
    <row r="94" spans="1:4" x14ac:dyDescent="0.3">
      <c r="A94" s="26" t="s">
        <v>183</v>
      </c>
      <c r="B94" s="27">
        <f>IFERROR(SUMIF(Dataset!B:B,A94,Dataset!Q:Q),0)</f>
        <v>73.010000000000005</v>
      </c>
      <c r="C94" s="22">
        <f>IFERROR(SUMIF(Dataset!B:B,A94,Dataset!K:K),0)</f>
        <v>4</v>
      </c>
      <c r="D94" s="28" t="str">
        <f>IFERROR(INDEX(Dataset!P:P,MATCH(A94,Dataset!B:B,0)),"Not Found")</f>
        <v>Placed</v>
      </c>
    </row>
    <row r="95" spans="1:4" x14ac:dyDescent="0.3">
      <c r="A95" s="26" t="s">
        <v>185</v>
      </c>
      <c r="B95" s="27">
        <f>IFERROR(SUMIF(Dataset!B:B,A95,Dataset!Q:Q),0)</f>
        <v>71.62</v>
      </c>
      <c r="C95" s="22">
        <f>IFERROR(SUMIF(Dataset!B:B,A95,Dataset!K:K),0)</f>
        <v>2</v>
      </c>
      <c r="D95" s="28" t="str">
        <f>IFERROR(INDEX(Dataset!P:P,MATCH(A95,Dataset!B:B,0)),"Not Found")</f>
        <v>Not Placed</v>
      </c>
    </row>
    <row r="96" spans="1:4" x14ac:dyDescent="0.3">
      <c r="A96" s="26" t="s">
        <v>187</v>
      </c>
      <c r="B96" s="27">
        <f>IFERROR(SUMIF(Dataset!B:B,A96,Dataset!Q:Q),0)</f>
        <v>60.3</v>
      </c>
      <c r="C96" s="22">
        <f>IFERROR(SUMIF(Dataset!B:B,A96,Dataset!K:K),0)</f>
        <v>3</v>
      </c>
      <c r="D96" s="28" t="str">
        <f>IFERROR(INDEX(Dataset!P:P,MATCH(A96,Dataset!B:B,0)),"Not Found")</f>
        <v>Not Placed</v>
      </c>
    </row>
    <row r="97" spans="1:4" x14ac:dyDescent="0.3">
      <c r="A97" s="26" t="s">
        <v>189</v>
      </c>
      <c r="B97" s="27">
        <f>IFERROR(SUMIF(Dataset!B:B,A97,Dataset!Q:Q),0)</f>
        <v>84.78</v>
      </c>
      <c r="C97" s="22">
        <f>IFERROR(SUMIF(Dataset!B:B,A97,Dataset!K:K),0)</f>
        <v>0</v>
      </c>
      <c r="D97" s="28" t="str">
        <f>IFERROR(INDEX(Dataset!P:P,MATCH(A97,Dataset!B:B,0)),"Not Found")</f>
        <v>Not Placed</v>
      </c>
    </row>
    <row r="98" spans="1:4" x14ac:dyDescent="0.3">
      <c r="A98" s="26" t="s">
        <v>191</v>
      </c>
      <c r="B98" s="27">
        <f>IFERROR(SUMIF(Dataset!B:B,A98,Dataset!Q:Q),0)</f>
        <v>76.61</v>
      </c>
      <c r="C98" s="22">
        <f>IFERROR(SUMIF(Dataset!B:B,A98,Dataset!K:K),0)</f>
        <v>4</v>
      </c>
      <c r="D98" s="28" t="str">
        <f>IFERROR(INDEX(Dataset!P:P,MATCH(A98,Dataset!B:B,0)),"Not Found")</f>
        <v>Not Placed</v>
      </c>
    </row>
    <row r="99" spans="1:4" x14ac:dyDescent="0.3">
      <c r="A99" s="26" t="s">
        <v>193</v>
      </c>
      <c r="B99" s="27">
        <f>IFERROR(SUMIF(Dataset!B:B,A99,Dataset!Q:Q),0)</f>
        <v>78.83</v>
      </c>
      <c r="C99" s="22">
        <f>IFERROR(SUMIF(Dataset!B:B,A99,Dataset!K:K),0)</f>
        <v>4</v>
      </c>
      <c r="D99" s="28" t="str">
        <f>IFERROR(INDEX(Dataset!P:P,MATCH(A99,Dataset!B:B,0)),"Not Found")</f>
        <v>Placed</v>
      </c>
    </row>
    <row r="100" spans="1:4" x14ac:dyDescent="0.3">
      <c r="A100" s="26" t="s">
        <v>195</v>
      </c>
      <c r="B100" s="27">
        <f>IFERROR(SUMIF(Dataset!B:B,A100,Dataset!Q:Q),0)</f>
        <v>63.39</v>
      </c>
      <c r="C100" s="22">
        <f>IFERROR(SUMIF(Dataset!B:B,A100,Dataset!K:K),0)</f>
        <v>0</v>
      </c>
      <c r="D100" s="28" t="str">
        <f>IFERROR(INDEX(Dataset!P:P,MATCH(A100,Dataset!B:B,0)),"Not Found")</f>
        <v>Not Placed</v>
      </c>
    </row>
    <row r="101" spans="1:4" x14ac:dyDescent="0.3">
      <c r="A101" s="26" t="s">
        <v>197</v>
      </c>
      <c r="B101" s="27">
        <f>IFERROR(SUMIF(Dataset!B:B,A101,Dataset!Q:Q),0)</f>
        <v>79.56</v>
      </c>
      <c r="C101" s="22">
        <f>IFERROR(SUMIF(Dataset!B:B,A101,Dataset!K:K),0)</f>
        <v>4</v>
      </c>
      <c r="D101" s="28" t="str">
        <f>IFERROR(INDEX(Dataset!P:P,MATCH(A101,Dataset!B:B,0)),"Not Found")</f>
        <v>Placed</v>
      </c>
    </row>
    <row r="102" spans="1:4" x14ac:dyDescent="0.3">
      <c r="A102" s="26" t="s">
        <v>199</v>
      </c>
      <c r="B102" s="27">
        <f>IFERROR(SUMIF(Dataset!B:B,A102,Dataset!Q:Q),0)</f>
        <v>83.65</v>
      </c>
      <c r="C102" s="22">
        <f>IFERROR(SUMIF(Dataset!B:B,A102,Dataset!K:K),0)</f>
        <v>0</v>
      </c>
      <c r="D102" s="28" t="str">
        <f>IFERROR(INDEX(Dataset!P:P,MATCH(A102,Dataset!B:B,0)),"Not Found")</f>
        <v>Not Placed</v>
      </c>
    </row>
    <row r="103" spans="1:4" x14ac:dyDescent="0.3">
      <c r="A103" s="26" t="s">
        <v>201</v>
      </c>
      <c r="B103" s="27">
        <f>IFERROR(SUMIF(Dataset!B:B,A103,Dataset!Q:Q),0)</f>
        <v>73.010000000000005</v>
      </c>
      <c r="C103" s="22">
        <f>IFERROR(SUMIF(Dataset!B:B,A103,Dataset!K:K),0)</f>
        <v>3</v>
      </c>
      <c r="D103" s="28" t="str">
        <f>IFERROR(INDEX(Dataset!P:P,MATCH(A103,Dataset!B:B,0)),"Not Found")</f>
        <v>Placed</v>
      </c>
    </row>
    <row r="104" spans="1:4" x14ac:dyDescent="0.3">
      <c r="A104" s="26" t="s">
        <v>203</v>
      </c>
      <c r="B104" s="27">
        <f>IFERROR(SUMIF(Dataset!B:B,A104,Dataset!Q:Q),0)</f>
        <v>75.650000000000006</v>
      </c>
      <c r="C104" s="22">
        <f>IFERROR(SUMIF(Dataset!B:B,A104,Dataset!K:K),0)</f>
        <v>2</v>
      </c>
      <c r="D104" s="28" t="str">
        <f>IFERROR(INDEX(Dataset!P:P,MATCH(A104,Dataset!B:B,0)),"Not Found")</f>
        <v>Placed</v>
      </c>
    </row>
    <row r="105" spans="1:4" x14ac:dyDescent="0.3">
      <c r="A105" s="26" t="s">
        <v>205</v>
      </c>
      <c r="B105" s="27">
        <f>IFERROR(SUMIF(Dataset!B:B,A105,Dataset!Q:Q),0)</f>
        <v>77.150000000000006</v>
      </c>
      <c r="C105" s="22">
        <f>IFERROR(SUMIF(Dataset!B:B,A105,Dataset!K:K),0)</f>
        <v>0</v>
      </c>
      <c r="D105" s="28" t="str">
        <f>IFERROR(INDEX(Dataset!P:P,MATCH(A105,Dataset!B:B,0)),"Not Found")</f>
        <v>Not Placed</v>
      </c>
    </row>
    <row r="106" spans="1:4" x14ac:dyDescent="0.3">
      <c r="A106" s="26" t="s">
        <v>207</v>
      </c>
      <c r="B106" s="27">
        <f>IFERROR(SUMIF(Dataset!B:B,A106,Dataset!Q:Q),0)</f>
        <v>55.93</v>
      </c>
      <c r="C106" s="22">
        <f>IFERROR(SUMIF(Dataset!B:B,A106,Dataset!K:K),0)</f>
        <v>1</v>
      </c>
      <c r="D106" s="28" t="str">
        <f>IFERROR(INDEX(Dataset!P:P,MATCH(A106,Dataset!B:B,0)),"Not Found")</f>
        <v>Placed</v>
      </c>
    </row>
    <row r="107" spans="1:4" x14ac:dyDescent="0.3">
      <c r="A107" s="26" t="s">
        <v>209</v>
      </c>
      <c r="B107" s="27">
        <f>IFERROR(SUMIF(Dataset!B:B,A107,Dataset!Q:Q),0)</f>
        <v>64.23</v>
      </c>
      <c r="C107" s="22">
        <f>IFERROR(SUMIF(Dataset!B:B,A107,Dataset!K:K),0)</f>
        <v>0</v>
      </c>
      <c r="D107" s="28" t="str">
        <f>IFERROR(INDEX(Dataset!P:P,MATCH(A107,Dataset!B:B,0)),"Not Found")</f>
        <v>Placed</v>
      </c>
    </row>
    <row r="108" spans="1:4" x14ac:dyDescent="0.3">
      <c r="A108" s="26" t="s">
        <v>211</v>
      </c>
      <c r="B108" s="27">
        <f>IFERROR(SUMIF(Dataset!B:B,A108,Dataset!Q:Q),0)</f>
        <v>77.819999999999993</v>
      </c>
      <c r="C108" s="22">
        <f>IFERROR(SUMIF(Dataset!B:B,A108,Dataset!K:K),0)</f>
        <v>4</v>
      </c>
      <c r="D108" s="28" t="str">
        <f>IFERROR(INDEX(Dataset!P:P,MATCH(A108,Dataset!B:B,0)),"Not Found")</f>
        <v>Placed</v>
      </c>
    </row>
    <row r="109" spans="1:4" x14ac:dyDescent="0.3">
      <c r="A109" s="26" t="s">
        <v>213</v>
      </c>
      <c r="B109" s="27">
        <f>IFERROR(SUMIF(Dataset!B:B,A109,Dataset!Q:Q),0)</f>
        <v>70.989999999999995</v>
      </c>
      <c r="C109" s="22">
        <f>IFERROR(SUMIF(Dataset!B:B,A109,Dataset!K:K),0)</f>
        <v>3</v>
      </c>
      <c r="D109" s="28" t="str">
        <f>IFERROR(INDEX(Dataset!P:P,MATCH(A109,Dataset!B:B,0)),"Not Found")</f>
        <v>Not Placed</v>
      </c>
    </row>
    <row r="110" spans="1:4" x14ac:dyDescent="0.3">
      <c r="A110" s="26" t="s">
        <v>215</v>
      </c>
      <c r="B110" s="27">
        <f>IFERROR(SUMIF(Dataset!B:B,A110,Dataset!Q:Q),0)</f>
        <v>68.290000000000006</v>
      </c>
      <c r="C110" s="22">
        <f>IFERROR(SUMIF(Dataset!B:B,A110,Dataset!K:K),0)</f>
        <v>5</v>
      </c>
      <c r="D110" s="28" t="str">
        <f>IFERROR(INDEX(Dataset!P:P,MATCH(A110,Dataset!B:B,0)),"Not Found")</f>
        <v>Placed</v>
      </c>
    </row>
    <row r="111" spans="1:4" x14ac:dyDescent="0.3">
      <c r="A111" s="26" t="s">
        <v>217</v>
      </c>
      <c r="B111" s="27">
        <f>IFERROR(SUMIF(Dataset!B:B,A111,Dataset!Q:Q),0)</f>
        <v>72.44</v>
      </c>
      <c r="C111" s="22">
        <f>IFERROR(SUMIF(Dataset!B:B,A111,Dataset!K:K),0)</f>
        <v>3</v>
      </c>
      <c r="D111" s="28" t="str">
        <f>IFERROR(INDEX(Dataset!P:P,MATCH(A111,Dataset!B:B,0)),"Not Found")</f>
        <v>Placed</v>
      </c>
    </row>
    <row r="112" spans="1:4" x14ac:dyDescent="0.3">
      <c r="A112" s="26" t="s">
        <v>219</v>
      </c>
      <c r="B112" s="27">
        <f>IFERROR(SUMIF(Dataset!B:B,A112,Dataset!Q:Q),0)</f>
        <v>50.2</v>
      </c>
      <c r="C112" s="22">
        <f>IFERROR(SUMIF(Dataset!B:B,A112,Dataset!K:K),0)</f>
        <v>5</v>
      </c>
      <c r="D112" s="28" t="str">
        <f>IFERROR(INDEX(Dataset!P:P,MATCH(A112,Dataset!B:B,0)),"Not Found")</f>
        <v>Placed</v>
      </c>
    </row>
    <row r="113" spans="1:4" x14ac:dyDescent="0.3">
      <c r="A113" s="26" t="s">
        <v>221</v>
      </c>
      <c r="B113" s="27">
        <f>IFERROR(SUMIF(Dataset!B:B,A113,Dataset!Q:Q),0)</f>
        <v>69.58</v>
      </c>
      <c r="C113" s="22">
        <f>IFERROR(SUMIF(Dataset!B:B,A113,Dataset!K:K),0)</f>
        <v>0</v>
      </c>
      <c r="D113" s="28" t="str">
        <f>IFERROR(INDEX(Dataset!P:P,MATCH(A113,Dataset!B:B,0)),"Not Found")</f>
        <v>Placed</v>
      </c>
    </row>
    <row r="114" spans="1:4" x14ac:dyDescent="0.3">
      <c r="A114" s="26" t="s">
        <v>223</v>
      </c>
      <c r="B114" s="27">
        <f>IFERROR(SUMIF(Dataset!B:B,A114,Dataset!Q:Q),0)</f>
        <v>46.3</v>
      </c>
      <c r="C114" s="22">
        <f>IFERROR(SUMIF(Dataset!B:B,A114,Dataset!K:K),0)</f>
        <v>2</v>
      </c>
      <c r="D114" s="28" t="str">
        <f>IFERROR(INDEX(Dataset!P:P,MATCH(A114,Dataset!B:B,0)),"Not Found")</f>
        <v>Not Placed</v>
      </c>
    </row>
    <row r="115" spans="1:4" x14ac:dyDescent="0.3">
      <c r="A115" s="26" t="s">
        <v>225</v>
      </c>
      <c r="B115" s="27">
        <f>IFERROR(SUMIF(Dataset!B:B,A115,Dataset!Q:Q),0)</f>
        <v>78.73</v>
      </c>
      <c r="C115" s="22">
        <f>IFERROR(SUMIF(Dataset!B:B,A115,Dataset!K:K),0)</f>
        <v>1</v>
      </c>
      <c r="D115" s="28" t="str">
        <f>IFERROR(INDEX(Dataset!P:P,MATCH(A115,Dataset!B:B,0)),"Not Found")</f>
        <v>Placed</v>
      </c>
    </row>
    <row r="116" spans="1:4" x14ac:dyDescent="0.3">
      <c r="A116" s="26" t="s">
        <v>227</v>
      </c>
      <c r="B116" s="27">
        <f>IFERROR(SUMIF(Dataset!B:B,A116,Dataset!Q:Q),0)</f>
        <v>79.180000000000007</v>
      </c>
      <c r="C116" s="22">
        <f>IFERROR(SUMIF(Dataset!B:B,A116,Dataset!K:K),0)</f>
        <v>3</v>
      </c>
      <c r="D116" s="28" t="str">
        <f>IFERROR(INDEX(Dataset!P:P,MATCH(A116,Dataset!B:B,0)),"Not Found")</f>
        <v>Placed</v>
      </c>
    </row>
    <row r="117" spans="1:4" x14ac:dyDescent="0.3">
      <c r="A117" s="26" t="s">
        <v>229</v>
      </c>
      <c r="B117" s="27">
        <f>IFERROR(SUMIF(Dataset!B:B,A117,Dataset!Q:Q),0)</f>
        <v>63.35</v>
      </c>
      <c r="C117" s="22">
        <f>IFERROR(SUMIF(Dataset!B:B,A117,Dataset!K:K),0)</f>
        <v>4</v>
      </c>
      <c r="D117" s="28" t="str">
        <f>IFERROR(INDEX(Dataset!P:P,MATCH(A117,Dataset!B:B,0)),"Not Found")</f>
        <v>Not Placed</v>
      </c>
    </row>
    <row r="118" spans="1:4" x14ac:dyDescent="0.3">
      <c r="A118" s="26" t="s">
        <v>231</v>
      </c>
      <c r="B118" s="27">
        <f>IFERROR(SUMIF(Dataset!B:B,A118,Dataset!Q:Q),0)</f>
        <v>74.3</v>
      </c>
      <c r="C118" s="22">
        <f>IFERROR(SUMIF(Dataset!B:B,A118,Dataset!K:K),0)</f>
        <v>5</v>
      </c>
      <c r="D118" s="28" t="str">
        <f>IFERROR(INDEX(Dataset!P:P,MATCH(A118,Dataset!B:B,0)),"Not Found")</f>
        <v>Placed</v>
      </c>
    </row>
    <row r="119" spans="1:4" x14ac:dyDescent="0.3">
      <c r="A119" s="26" t="s">
        <v>233</v>
      </c>
      <c r="B119" s="27">
        <f>IFERROR(SUMIF(Dataset!B:B,A119,Dataset!Q:Q),0)</f>
        <v>64.41</v>
      </c>
      <c r="C119" s="22">
        <f>IFERROR(SUMIF(Dataset!B:B,A119,Dataset!K:K),0)</f>
        <v>4</v>
      </c>
      <c r="D119" s="28" t="str">
        <f>IFERROR(INDEX(Dataset!P:P,MATCH(A119,Dataset!B:B,0)),"Not Found")</f>
        <v>Not Placed</v>
      </c>
    </row>
    <row r="120" spans="1:4" x14ac:dyDescent="0.3">
      <c r="A120" s="26" t="s">
        <v>235</v>
      </c>
      <c r="B120" s="27">
        <f>IFERROR(SUMIF(Dataset!B:B,A120,Dataset!Q:Q),0)</f>
        <v>70.650000000000006</v>
      </c>
      <c r="C120" s="22">
        <f>IFERROR(SUMIF(Dataset!B:B,A120,Dataset!K:K),0)</f>
        <v>2</v>
      </c>
      <c r="D120" s="28" t="str">
        <f>IFERROR(INDEX(Dataset!P:P,MATCH(A120,Dataset!B:B,0)),"Not Found")</f>
        <v>Not Placed</v>
      </c>
    </row>
    <row r="121" spans="1:4" x14ac:dyDescent="0.3">
      <c r="A121" s="26" t="s">
        <v>237</v>
      </c>
      <c r="B121" s="27">
        <f>IFERROR(SUMIF(Dataset!B:B,A121,Dataset!Q:Q),0)</f>
        <v>82.02</v>
      </c>
      <c r="C121" s="22">
        <f>IFERROR(SUMIF(Dataset!B:B,A121,Dataset!K:K),0)</f>
        <v>5</v>
      </c>
      <c r="D121" s="28" t="str">
        <f>IFERROR(INDEX(Dataset!P:P,MATCH(A121,Dataset!B:B,0)),"Not Found")</f>
        <v>Not Placed</v>
      </c>
    </row>
    <row r="122" spans="1:4" x14ac:dyDescent="0.3">
      <c r="A122" s="26" t="s">
        <v>239</v>
      </c>
      <c r="B122" s="27">
        <f>IFERROR(SUMIF(Dataset!B:B,A122,Dataset!Q:Q),0)</f>
        <v>76.98</v>
      </c>
      <c r="C122" s="22">
        <f>IFERROR(SUMIF(Dataset!B:B,A122,Dataset!K:K),0)</f>
        <v>3</v>
      </c>
      <c r="D122" s="28" t="str">
        <f>IFERROR(INDEX(Dataset!P:P,MATCH(A122,Dataset!B:B,0)),"Not Found")</f>
        <v>Placed</v>
      </c>
    </row>
    <row r="123" spans="1:4" x14ac:dyDescent="0.3">
      <c r="A123" s="26" t="s">
        <v>241</v>
      </c>
      <c r="B123" s="27">
        <f>IFERROR(SUMIF(Dataset!B:B,A123,Dataset!Q:Q),0)</f>
        <v>69.94</v>
      </c>
      <c r="C123" s="22">
        <f>IFERROR(SUMIF(Dataset!B:B,A123,Dataset!K:K),0)</f>
        <v>0</v>
      </c>
      <c r="D123" s="28" t="str">
        <f>IFERROR(INDEX(Dataset!P:P,MATCH(A123,Dataset!B:B,0)),"Not Found")</f>
        <v>Placed</v>
      </c>
    </row>
    <row r="124" spans="1:4" x14ac:dyDescent="0.3">
      <c r="A124" s="26" t="s">
        <v>243</v>
      </c>
      <c r="B124" s="27">
        <f>IFERROR(SUMIF(Dataset!B:B,A124,Dataset!Q:Q),0)</f>
        <v>72.97</v>
      </c>
      <c r="C124" s="22">
        <f>IFERROR(SUMIF(Dataset!B:B,A124,Dataset!K:K),0)</f>
        <v>4</v>
      </c>
      <c r="D124" s="28" t="str">
        <f>IFERROR(INDEX(Dataset!P:P,MATCH(A124,Dataset!B:B,0)),"Not Found")</f>
        <v>Placed</v>
      </c>
    </row>
    <row r="125" spans="1:4" x14ac:dyDescent="0.3">
      <c r="A125" s="26" t="s">
        <v>245</v>
      </c>
      <c r="B125" s="27">
        <f>IFERROR(SUMIF(Dataset!B:B,A125,Dataset!Q:Q),0)</f>
        <v>79.489999999999995</v>
      </c>
      <c r="C125" s="22">
        <f>IFERROR(SUMIF(Dataset!B:B,A125,Dataset!K:K),0)</f>
        <v>2</v>
      </c>
      <c r="D125" s="28" t="str">
        <f>IFERROR(INDEX(Dataset!P:P,MATCH(A125,Dataset!B:B,0)),"Not Found")</f>
        <v>Not Placed</v>
      </c>
    </row>
    <row r="126" spans="1:4" x14ac:dyDescent="0.3">
      <c r="A126" s="26" t="s">
        <v>247</v>
      </c>
      <c r="B126" s="27">
        <f>IFERROR(SUMIF(Dataset!B:B,A126,Dataset!Q:Q),0)</f>
        <v>69.790000000000006</v>
      </c>
      <c r="C126" s="22">
        <f>IFERROR(SUMIF(Dataset!B:B,A126,Dataset!K:K),0)</f>
        <v>3</v>
      </c>
      <c r="D126" s="28" t="str">
        <f>IFERROR(INDEX(Dataset!P:P,MATCH(A126,Dataset!B:B,0)),"Not Found")</f>
        <v>Not Placed</v>
      </c>
    </row>
    <row r="127" spans="1:4" x14ac:dyDescent="0.3">
      <c r="A127" s="26" t="s">
        <v>249</v>
      </c>
      <c r="B127" s="27">
        <f>IFERROR(SUMIF(Dataset!B:B,A127,Dataset!Q:Q),0)</f>
        <v>83.36</v>
      </c>
      <c r="C127" s="22">
        <f>IFERROR(SUMIF(Dataset!B:B,A127,Dataset!K:K),0)</f>
        <v>3</v>
      </c>
      <c r="D127" s="28" t="str">
        <f>IFERROR(INDEX(Dataset!P:P,MATCH(A127,Dataset!B:B,0)),"Not Found")</f>
        <v>Placed</v>
      </c>
    </row>
    <row r="128" spans="1:4" x14ac:dyDescent="0.3">
      <c r="A128" s="26" t="s">
        <v>251</v>
      </c>
      <c r="B128" s="27">
        <f>IFERROR(SUMIF(Dataset!B:B,A128,Dataset!Q:Q),0)</f>
        <v>73.02</v>
      </c>
      <c r="C128" s="22">
        <f>IFERROR(SUMIF(Dataset!B:B,A128,Dataset!K:K),0)</f>
        <v>3</v>
      </c>
      <c r="D128" s="28" t="str">
        <f>IFERROR(INDEX(Dataset!P:P,MATCH(A128,Dataset!B:B,0)),"Not Found")</f>
        <v>Placed</v>
      </c>
    </row>
    <row r="129" spans="1:4" x14ac:dyDescent="0.3">
      <c r="A129" s="26" t="s">
        <v>253</v>
      </c>
      <c r="B129" s="27">
        <f>IFERROR(SUMIF(Dataset!B:B,A129,Dataset!Q:Q),0)</f>
        <v>70.12</v>
      </c>
      <c r="C129" s="22">
        <f>IFERROR(SUMIF(Dataset!B:B,A129,Dataset!K:K),0)</f>
        <v>3</v>
      </c>
      <c r="D129" s="28" t="str">
        <f>IFERROR(INDEX(Dataset!P:P,MATCH(A129,Dataset!B:B,0)),"Not Found")</f>
        <v>Not Placed</v>
      </c>
    </row>
    <row r="130" spans="1:4" x14ac:dyDescent="0.3">
      <c r="A130" s="26" t="s">
        <v>255</v>
      </c>
      <c r="B130" s="27">
        <f>IFERROR(SUMIF(Dataset!B:B,A130,Dataset!Q:Q),0)</f>
        <v>72.23</v>
      </c>
      <c r="C130" s="22">
        <f>IFERROR(SUMIF(Dataset!B:B,A130,Dataset!K:K),0)</f>
        <v>5</v>
      </c>
      <c r="D130" s="28" t="str">
        <f>IFERROR(INDEX(Dataset!P:P,MATCH(A130,Dataset!B:B,0)),"Not Found")</f>
        <v>Placed</v>
      </c>
    </row>
    <row r="131" spans="1:4" x14ac:dyDescent="0.3">
      <c r="A131" s="26" t="s">
        <v>257</v>
      </c>
      <c r="B131" s="27">
        <f>IFERROR(SUMIF(Dataset!B:B,A131,Dataset!Q:Q),0)</f>
        <v>65.56</v>
      </c>
      <c r="C131" s="22">
        <f>IFERROR(SUMIF(Dataset!B:B,A131,Dataset!K:K),0)</f>
        <v>3</v>
      </c>
      <c r="D131" s="28" t="str">
        <f>IFERROR(INDEX(Dataset!P:P,MATCH(A131,Dataset!B:B,0)),"Not Found")</f>
        <v>Not Placed</v>
      </c>
    </row>
    <row r="132" spans="1:4" x14ac:dyDescent="0.3">
      <c r="A132" s="26" t="s">
        <v>259</v>
      </c>
      <c r="B132" s="27">
        <f>IFERROR(SUMIF(Dataset!B:B,A132,Dataset!Q:Q),0)</f>
        <v>62.36</v>
      </c>
      <c r="C132" s="22">
        <f>IFERROR(SUMIF(Dataset!B:B,A132,Dataset!K:K),0)</f>
        <v>4</v>
      </c>
      <c r="D132" s="28" t="str">
        <f>IFERROR(INDEX(Dataset!P:P,MATCH(A132,Dataset!B:B,0)),"Not Found")</f>
        <v>Not Placed</v>
      </c>
    </row>
    <row r="133" spans="1:4" x14ac:dyDescent="0.3">
      <c r="A133" s="26" t="s">
        <v>261</v>
      </c>
      <c r="B133" s="27">
        <f>IFERROR(SUMIF(Dataset!B:B,A133,Dataset!Q:Q),0)</f>
        <v>74.489999999999995</v>
      </c>
      <c r="C133" s="22">
        <f>IFERROR(SUMIF(Dataset!B:B,A133,Dataset!K:K),0)</f>
        <v>2</v>
      </c>
      <c r="D133" s="28" t="str">
        <f>IFERROR(INDEX(Dataset!P:P,MATCH(A133,Dataset!B:B,0)),"Not Found")</f>
        <v>Placed</v>
      </c>
    </row>
    <row r="134" spans="1:4" x14ac:dyDescent="0.3">
      <c r="A134" s="26" t="s">
        <v>263</v>
      </c>
      <c r="B134" s="27">
        <f>IFERROR(SUMIF(Dataset!B:B,A134,Dataset!Q:Q),0)</f>
        <v>80.150000000000006</v>
      </c>
      <c r="C134" s="22">
        <f>IFERROR(SUMIF(Dataset!B:B,A134,Dataset!K:K),0)</f>
        <v>5</v>
      </c>
      <c r="D134" s="28" t="str">
        <f>IFERROR(INDEX(Dataset!P:P,MATCH(A134,Dataset!B:B,0)),"Not Found")</f>
        <v>Placed</v>
      </c>
    </row>
    <row r="135" spans="1:4" x14ac:dyDescent="0.3">
      <c r="A135" s="26" t="s">
        <v>265</v>
      </c>
      <c r="B135" s="27">
        <f>IFERROR(SUMIF(Dataset!B:B,A135,Dataset!Q:Q),0)</f>
        <v>91.31</v>
      </c>
      <c r="C135" s="22">
        <f>IFERROR(SUMIF(Dataset!B:B,A135,Dataset!K:K),0)</f>
        <v>3</v>
      </c>
      <c r="D135" s="28" t="str">
        <f>IFERROR(INDEX(Dataset!P:P,MATCH(A135,Dataset!B:B,0)),"Not Found")</f>
        <v>Not Placed</v>
      </c>
    </row>
    <row r="136" spans="1:4" x14ac:dyDescent="0.3">
      <c r="A136" s="26" t="s">
        <v>267</v>
      </c>
      <c r="B136" s="27">
        <f>IFERROR(SUMIF(Dataset!B:B,A136,Dataset!Q:Q),0)</f>
        <v>69.08</v>
      </c>
      <c r="C136" s="22">
        <f>IFERROR(SUMIF(Dataset!B:B,A136,Dataset!K:K),0)</f>
        <v>1</v>
      </c>
      <c r="D136" s="28" t="str">
        <f>IFERROR(INDEX(Dataset!P:P,MATCH(A136,Dataset!B:B,0)),"Not Found")</f>
        <v>Not Placed</v>
      </c>
    </row>
    <row r="137" spans="1:4" x14ac:dyDescent="0.3">
      <c r="A137" s="26" t="s">
        <v>269</v>
      </c>
      <c r="B137" s="27">
        <f>IFERROR(SUMIF(Dataset!B:B,A137,Dataset!Q:Q),0)</f>
        <v>81.3</v>
      </c>
      <c r="C137" s="22">
        <f>IFERROR(SUMIF(Dataset!B:B,A137,Dataset!K:K),0)</f>
        <v>1</v>
      </c>
      <c r="D137" s="28" t="str">
        <f>IFERROR(INDEX(Dataset!P:P,MATCH(A137,Dataset!B:B,0)),"Not Found")</f>
        <v>Placed</v>
      </c>
    </row>
    <row r="138" spans="1:4" x14ac:dyDescent="0.3">
      <c r="A138" s="26" t="s">
        <v>271</v>
      </c>
      <c r="B138" s="27">
        <f>IFERROR(SUMIF(Dataset!B:B,A138,Dataset!Q:Q),0)</f>
        <v>75.069999999999993</v>
      </c>
      <c r="C138" s="22">
        <f>IFERROR(SUMIF(Dataset!B:B,A138,Dataset!K:K),0)</f>
        <v>2</v>
      </c>
      <c r="D138" s="28" t="str">
        <f>IFERROR(INDEX(Dataset!P:P,MATCH(A138,Dataset!B:B,0)),"Not Found")</f>
        <v>Placed</v>
      </c>
    </row>
    <row r="139" spans="1:4" x14ac:dyDescent="0.3">
      <c r="A139" s="26" t="s">
        <v>273</v>
      </c>
      <c r="B139" s="27">
        <f>IFERROR(SUMIF(Dataset!B:B,A139,Dataset!Q:Q),0)</f>
        <v>87.5</v>
      </c>
      <c r="C139" s="22">
        <f>IFERROR(SUMIF(Dataset!B:B,A139,Dataset!K:K),0)</f>
        <v>0</v>
      </c>
      <c r="D139" s="28" t="str">
        <f>IFERROR(INDEX(Dataset!P:P,MATCH(A139,Dataset!B:B,0)),"Not Found")</f>
        <v>Not Placed</v>
      </c>
    </row>
    <row r="140" spans="1:4" x14ac:dyDescent="0.3">
      <c r="A140" s="26" t="s">
        <v>275</v>
      </c>
      <c r="B140" s="27">
        <f>IFERROR(SUMIF(Dataset!B:B,A140,Dataset!Q:Q),0)</f>
        <v>72.180000000000007</v>
      </c>
      <c r="C140" s="22">
        <f>IFERROR(SUMIF(Dataset!B:B,A140,Dataset!K:K),0)</f>
        <v>0</v>
      </c>
      <c r="D140" s="28" t="str">
        <f>IFERROR(INDEX(Dataset!P:P,MATCH(A140,Dataset!B:B,0)),"Not Found")</f>
        <v>Placed</v>
      </c>
    </row>
    <row r="141" spans="1:4" x14ac:dyDescent="0.3">
      <c r="A141" s="26" t="s">
        <v>277</v>
      </c>
      <c r="B141" s="27">
        <f>IFERROR(SUMIF(Dataset!B:B,A141,Dataset!Q:Q),0)</f>
        <v>76.349999999999994</v>
      </c>
      <c r="C141" s="22">
        <f>IFERROR(SUMIF(Dataset!B:B,A141,Dataset!K:K),0)</f>
        <v>5</v>
      </c>
      <c r="D141" s="28" t="str">
        <f>IFERROR(INDEX(Dataset!P:P,MATCH(A141,Dataset!B:B,0)),"Not Found")</f>
        <v>Placed</v>
      </c>
    </row>
    <row r="142" spans="1:4" x14ac:dyDescent="0.3">
      <c r="A142" s="26" t="s">
        <v>279</v>
      </c>
      <c r="B142" s="27">
        <f>IFERROR(SUMIF(Dataset!B:B,A142,Dataset!Q:Q),0)</f>
        <v>75.260000000000005</v>
      </c>
      <c r="C142" s="22">
        <f>IFERROR(SUMIF(Dataset!B:B,A142,Dataset!K:K),0)</f>
        <v>5</v>
      </c>
      <c r="D142" s="28" t="str">
        <f>IFERROR(INDEX(Dataset!P:P,MATCH(A142,Dataset!B:B,0)),"Not Found")</f>
        <v>Placed</v>
      </c>
    </row>
    <row r="143" spans="1:4" x14ac:dyDescent="0.3">
      <c r="A143" s="26" t="s">
        <v>281</v>
      </c>
      <c r="B143" s="27">
        <f>IFERROR(SUMIF(Dataset!B:B,A143,Dataset!Q:Q),0)</f>
        <v>77.13</v>
      </c>
      <c r="C143" s="22">
        <f>IFERROR(SUMIF(Dataset!B:B,A143,Dataset!K:K),0)</f>
        <v>5</v>
      </c>
      <c r="D143" s="28" t="str">
        <f>IFERROR(INDEX(Dataset!P:P,MATCH(A143,Dataset!B:B,0)),"Not Found")</f>
        <v>Placed</v>
      </c>
    </row>
    <row r="144" spans="1:4" x14ac:dyDescent="0.3">
      <c r="A144" s="26" t="s">
        <v>283</v>
      </c>
      <c r="B144" s="27">
        <f>IFERROR(SUMIF(Dataset!B:B,A144,Dataset!Q:Q),0)</f>
        <v>77.73</v>
      </c>
      <c r="C144" s="22">
        <f>IFERROR(SUMIF(Dataset!B:B,A144,Dataset!K:K),0)</f>
        <v>0</v>
      </c>
      <c r="D144" s="28" t="str">
        <f>IFERROR(INDEX(Dataset!P:P,MATCH(A144,Dataset!B:B,0)),"Not Found")</f>
        <v>Placed</v>
      </c>
    </row>
    <row r="145" spans="1:4" x14ac:dyDescent="0.3">
      <c r="A145" s="26" t="s">
        <v>285</v>
      </c>
      <c r="B145" s="27">
        <f>IFERROR(SUMIF(Dataset!B:B,A145,Dataset!Q:Q),0)</f>
        <v>85.05</v>
      </c>
      <c r="C145" s="22">
        <f>IFERROR(SUMIF(Dataset!B:B,A145,Dataset!K:K),0)</f>
        <v>1</v>
      </c>
      <c r="D145" s="28" t="str">
        <f>IFERROR(INDEX(Dataset!P:P,MATCH(A145,Dataset!B:B,0)),"Not Found")</f>
        <v>Not Placed</v>
      </c>
    </row>
    <row r="146" spans="1:4" x14ac:dyDescent="0.3">
      <c r="A146" s="26" t="s">
        <v>287</v>
      </c>
      <c r="B146" s="27">
        <f>IFERROR(SUMIF(Dataset!B:B,A146,Dataset!Q:Q),0)</f>
        <v>69.44</v>
      </c>
      <c r="C146" s="22">
        <f>IFERROR(SUMIF(Dataset!B:B,A146,Dataset!K:K),0)</f>
        <v>0</v>
      </c>
      <c r="D146" s="28" t="str">
        <f>IFERROR(INDEX(Dataset!P:P,MATCH(A146,Dataset!B:B,0)),"Not Found")</f>
        <v>Placed</v>
      </c>
    </row>
    <row r="147" spans="1:4" x14ac:dyDescent="0.3">
      <c r="A147" s="26" t="s">
        <v>289</v>
      </c>
      <c r="B147" s="27">
        <f>IFERROR(SUMIF(Dataset!B:B,A147,Dataset!Q:Q),0)</f>
        <v>83.91</v>
      </c>
      <c r="C147" s="22">
        <f>IFERROR(SUMIF(Dataset!B:B,A147,Dataset!K:K),0)</f>
        <v>4</v>
      </c>
      <c r="D147" s="28" t="str">
        <f>IFERROR(INDEX(Dataset!P:P,MATCH(A147,Dataset!B:B,0)),"Not Found")</f>
        <v>Placed</v>
      </c>
    </row>
    <row r="148" spans="1:4" x14ac:dyDescent="0.3">
      <c r="A148" s="26" t="s">
        <v>291</v>
      </c>
      <c r="B148" s="27">
        <f>IFERROR(SUMIF(Dataset!B:B,A148,Dataset!Q:Q),0)</f>
        <v>78.92</v>
      </c>
      <c r="C148" s="22">
        <f>IFERROR(SUMIF(Dataset!B:B,A148,Dataset!K:K),0)</f>
        <v>3</v>
      </c>
      <c r="D148" s="28" t="str">
        <f>IFERROR(INDEX(Dataset!P:P,MATCH(A148,Dataset!B:B,0)),"Not Found")</f>
        <v>Placed</v>
      </c>
    </row>
    <row r="149" spans="1:4" x14ac:dyDescent="0.3">
      <c r="A149" s="26" t="s">
        <v>293</v>
      </c>
      <c r="B149" s="27">
        <f>IFERROR(SUMIF(Dataset!B:B,A149,Dataset!Q:Q),0)</f>
        <v>69.59</v>
      </c>
      <c r="C149" s="22">
        <f>IFERROR(SUMIF(Dataset!B:B,A149,Dataset!K:K),0)</f>
        <v>5</v>
      </c>
      <c r="D149" s="28" t="str">
        <f>IFERROR(INDEX(Dataset!P:P,MATCH(A149,Dataset!B:B,0)),"Not Found")</f>
        <v>Not Placed</v>
      </c>
    </row>
    <row r="150" spans="1:4" x14ac:dyDescent="0.3">
      <c r="A150" s="26" t="s">
        <v>295</v>
      </c>
      <c r="B150" s="27">
        <f>IFERROR(SUMIF(Dataset!B:B,A150,Dataset!Q:Q),0)</f>
        <v>85.78</v>
      </c>
      <c r="C150" s="22">
        <f>IFERROR(SUMIF(Dataset!B:B,A150,Dataset!K:K),0)</f>
        <v>1</v>
      </c>
      <c r="D150" s="28" t="str">
        <f>IFERROR(INDEX(Dataset!P:P,MATCH(A150,Dataset!B:B,0)),"Not Found")</f>
        <v>Placed</v>
      </c>
    </row>
    <row r="151" spans="1:4" x14ac:dyDescent="0.3">
      <c r="A151" s="26" t="s">
        <v>297</v>
      </c>
      <c r="B151" s="27">
        <f>IFERROR(SUMIF(Dataset!B:B,A151,Dataset!Q:Q),0)</f>
        <v>72.069999999999993</v>
      </c>
      <c r="C151" s="22">
        <f>IFERROR(SUMIF(Dataset!B:B,A151,Dataset!K:K),0)</f>
        <v>2</v>
      </c>
      <c r="D151" s="28" t="str">
        <f>IFERROR(INDEX(Dataset!P:P,MATCH(A151,Dataset!B:B,0)),"Not Found")</f>
        <v>Placed</v>
      </c>
    </row>
    <row r="152" spans="1:4" x14ac:dyDescent="0.3">
      <c r="A152" s="26" t="s">
        <v>299</v>
      </c>
      <c r="B152" s="27">
        <f>IFERROR(SUMIF(Dataset!B:B,A152,Dataset!Q:Q),0)</f>
        <v>83.22</v>
      </c>
      <c r="C152" s="22">
        <f>IFERROR(SUMIF(Dataset!B:B,A152,Dataset!K:K),0)</f>
        <v>2</v>
      </c>
      <c r="D152" s="28" t="str">
        <f>IFERROR(INDEX(Dataset!P:P,MATCH(A152,Dataset!B:B,0)),"Not Found")</f>
        <v>Not Placed</v>
      </c>
    </row>
    <row r="153" spans="1:4" x14ac:dyDescent="0.3">
      <c r="A153" s="26" t="s">
        <v>301</v>
      </c>
      <c r="B153" s="27">
        <f>IFERROR(SUMIF(Dataset!B:B,A153,Dataset!Q:Q),0)</f>
        <v>64.709999999999994</v>
      </c>
      <c r="C153" s="22">
        <f>IFERROR(SUMIF(Dataset!B:B,A153,Dataset!K:K),0)</f>
        <v>3</v>
      </c>
      <c r="D153" s="28" t="str">
        <f>IFERROR(INDEX(Dataset!P:P,MATCH(A153,Dataset!B:B,0)),"Not Found")</f>
        <v>Placed</v>
      </c>
    </row>
    <row r="154" spans="1:4" x14ac:dyDescent="0.3">
      <c r="A154" s="26" t="s">
        <v>303</v>
      </c>
      <c r="B154" s="27">
        <f>IFERROR(SUMIF(Dataset!B:B,A154,Dataset!Q:Q),0)</f>
        <v>61.25</v>
      </c>
      <c r="C154" s="22">
        <f>IFERROR(SUMIF(Dataset!B:B,A154,Dataset!K:K),0)</f>
        <v>1</v>
      </c>
      <c r="D154" s="28" t="str">
        <f>IFERROR(INDEX(Dataset!P:P,MATCH(A154,Dataset!B:B,0)),"Not Found")</f>
        <v>Not Placed</v>
      </c>
    </row>
    <row r="155" spans="1:4" x14ac:dyDescent="0.3">
      <c r="A155" s="26" t="s">
        <v>305</v>
      </c>
      <c r="B155" s="27">
        <f>IFERROR(SUMIF(Dataset!B:B,A155,Dataset!Q:Q),0)</f>
        <v>80.83</v>
      </c>
      <c r="C155" s="22">
        <f>IFERROR(SUMIF(Dataset!B:B,A155,Dataset!K:K),0)</f>
        <v>0</v>
      </c>
      <c r="D155" s="28" t="str">
        <f>IFERROR(INDEX(Dataset!P:P,MATCH(A155,Dataset!B:B,0)),"Not Found")</f>
        <v>Not Placed</v>
      </c>
    </row>
    <row r="156" spans="1:4" x14ac:dyDescent="0.3">
      <c r="A156" s="26" t="s">
        <v>307</v>
      </c>
      <c r="B156" s="27">
        <f>IFERROR(SUMIF(Dataset!B:B,A156,Dataset!Q:Q),0)</f>
        <v>63.63</v>
      </c>
      <c r="C156" s="22">
        <f>IFERROR(SUMIF(Dataset!B:B,A156,Dataset!K:K),0)</f>
        <v>0</v>
      </c>
      <c r="D156" s="28" t="str">
        <f>IFERROR(INDEX(Dataset!P:P,MATCH(A156,Dataset!B:B,0)),"Not Found")</f>
        <v>Not Placed</v>
      </c>
    </row>
    <row r="157" spans="1:4" x14ac:dyDescent="0.3">
      <c r="A157" s="26" t="s">
        <v>309</v>
      </c>
      <c r="B157" s="27">
        <f>IFERROR(SUMIF(Dataset!B:B,A157,Dataset!Q:Q),0)</f>
        <v>91.45</v>
      </c>
      <c r="C157" s="22">
        <f>IFERROR(SUMIF(Dataset!B:B,A157,Dataset!K:K),0)</f>
        <v>4</v>
      </c>
      <c r="D157" s="28" t="str">
        <f>IFERROR(INDEX(Dataset!P:P,MATCH(A157,Dataset!B:B,0)),"Not Found")</f>
        <v>Placed</v>
      </c>
    </row>
    <row r="158" spans="1:4" x14ac:dyDescent="0.3">
      <c r="A158" s="26" t="s">
        <v>311</v>
      </c>
      <c r="B158" s="27">
        <f>IFERROR(SUMIF(Dataset!B:B,A158,Dataset!Q:Q),0)</f>
        <v>61.03</v>
      </c>
      <c r="C158" s="22">
        <f>IFERROR(SUMIF(Dataset!B:B,A158,Dataset!K:K),0)</f>
        <v>4</v>
      </c>
      <c r="D158" s="28" t="str">
        <f>IFERROR(INDEX(Dataset!P:P,MATCH(A158,Dataset!B:B,0)),"Not Found")</f>
        <v>Not Placed</v>
      </c>
    </row>
    <row r="159" spans="1:4" x14ac:dyDescent="0.3">
      <c r="A159" s="26" t="s">
        <v>313</v>
      </c>
      <c r="B159" s="27">
        <f>IFERROR(SUMIF(Dataset!B:B,A159,Dataset!Q:Q),0)</f>
        <v>74.45</v>
      </c>
      <c r="C159" s="22">
        <f>IFERROR(SUMIF(Dataset!B:B,A159,Dataset!K:K),0)</f>
        <v>0</v>
      </c>
      <c r="D159" s="28" t="str">
        <f>IFERROR(INDEX(Dataset!P:P,MATCH(A159,Dataset!B:B,0)),"Not Found")</f>
        <v>Not Placed</v>
      </c>
    </row>
    <row r="160" spans="1:4" x14ac:dyDescent="0.3">
      <c r="A160" s="26" t="s">
        <v>315</v>
      </c>
      <c r="B160" s="27">
        <f>IFERROR(SUMIF(Dataset!B:B,A160,Dataset!Q:Q),0)</f>
        <v>89.54</v>
      </c>
      <c r="C160" s="22">
        <f>IFERROR(SUMIF(Dataset!B:B,A160,Dataset!K:K),0)</f>
        <v>2</v>
      </c>
      <c r="D160" s="28" t="str">
        <f>IFERROR(INDEX(Dataset!P:P,MATCH(A160,Dataset!B:B,0)),"Not Found")</f>
        <v>Placed</v>
      </c>
    </row>
    <row r="161" spans="1:4" x14ac:dyDescent="0.3">
      <c r="A161" s="26" t="s">
        <v>317</v>
      </c>
      <c r="B161" s="27">
        <f>IFERROR(SUMIF(Dataset!B:B,A161,Dataset!Q:Q),0)</f>
        <v>64.33</v>
      </c>
      <c r="C161" s="22">
        <f>IFERROR(SUMIF(Dataset!B:B,A161,Dataset!K:K),0)</f>
        <v>5</v>
      </c>
      <c r="D161" s="28" t="str">
        <f>IFERROR(INDEX(Dataset!P:P,MATCH(A161,Dataset!B:B,0)),"Not Found")</f>
        <v>Not Placed</v>
      </c>
    </row>
    <row r="162" spans="1:4" x14ac:dyDescent="0.3">
      <c r="A162" s="26" t="s">
        <v>319</v>
      </c>
      <c r="B162" s="27">
        <f>IFERROR(SUMIF(Dataset!B:B,A162,Dataset!Q:Q),0)</f>
        <v>45.34</v>
      </c>
      <c r="C162" s="22">
        <f>IFERROR(SUMIF(Dataset!B:B,A162,Dataset!K:K),0)</f>
        <v>2</v>
      </c>
      <c r="D162" s="28" t="str">
        <f>IFERROR(INDEX(Dataset!P:P,MATCH(A162,Dataset!B:B,0)),"Not Found")</f>
        <v>Not Placed</v>
      </c>
    </row>
    <row r="163" spans="1:4" x14ac:dyDescent="0.3">
      <c r="A163" s="26" t="s">
        <v>321</v>
      </c>
      <c r="B163" s="27">
        <f>IFERROR(SUMIF(Dataset!B:B,A163,Dataset!Q:Q),0)</f>
        <v>75.58</v>
      </c>
      <c r="C163" s="22">
        <f>IFERROR(SUMIF(Dataset!B:B,A163,Dataset!K:K),0)</f>
        <v>4</v>
      </c>
      <c r="D163" s="28" t="str">
        <f>IFERROR(INDEX(Dataset!P:P,MATCH(A163,Dataset!B:B,0)),"Not Found")</f>
        <v>Placed</v>
      </c>
    </row>
    <row r="164" spans="1:4" x14ac:dyDescent="0.3">
      <c r="A164" s="26" t="s">
        <v>323</v>
      </c>
      <c r="B164" s="27">
        <f>IFERROR(SUMIF(Dataset!B:B,A164,Dataset!Q:Q),0)</f>
        <v>65.25</v>
      </c>
      <c r="C164" s="22">
        <f>IFERROR(SUMIF(Dataset!B:B,A164,Dataset!K:K),0)</f>
        <v>3</v>
      </c>
      <c r="D164" s="28" t="str">
        <f>IFERROR(INDEX(Dataset!P:P,MATCH(A164,Dataset!B:B,0)),"Not Found")</f>
        <v>Placed</v>
      </c>
    </row>
    <row r="165" spans="1:4" x14ac:dyDescent="0.3">
      <c r="A165" s="26" t="s">
        <v>325</v>
      </c>
      <c r="B165" s="27">
        <f>IFERROR(SUMIF(Dataset!B:B,A165,Dataset!Q:Q),0)</f>
        <v>68.069999999999993</v>
      </c>
      <c r="C165" s="22">
        <f>IFERROR(SUMIF(Dataset!B:B,A165,Dataset!K:K),0)</f>
        <v>0</v>
      </c>
      <c r="D165" s="28" t="str">
        <f>IFERROR(INDEX(Dataset!P:P,MATCH(A165,Dataset!B:B,0)),"Not Found")</f>
        <v>Not Placed</v>
      </c>
    </row>
    <row r="166" spans="1:4" x14ac:dyDescent="0.3">
      <c r="A166" s="26" t="s">
        <v>327</v>
      </c>
      <c r="B166" s="27">
        <f>IFERROR(SUMIF(Dataset!B:B,A166,Dataset!Q:Q),0)</f>
        <v>79.45</v>
      </c>
      <c r="C166" s="22">
        <f>IFERROR(SUMIF(Dataset!B:B,A166,Dataset!K:K),0)</f>
        <v>4</v>
      </c>
      <c r="D166" s="28" t="str">
        <f>IFERROR(INDEX(Dataset!P:P,MATCH(A166,Dataset!B:B,0)),"Not Found")</f>
        <v>Placed</v>
      </c>
    </row>
    <row r="167" spans="1:4" x14ac:dyDescent="0.3">
      <c r="A167" s="26" t="s">
        <v>329</v>
      </c>
      <c r="B167" s="27">
        <f>IFERROR(SUMIF(Dataset!B:B,A167,Dataset!Q:Q),0)</f>
        <v>76.7</v>
      </c>
      <c r="C167" s="22">
        <f>IFERROR(SUMIF(Dataset!B:B,A167,Dataset!K:K),0)</f>
        <v>4</v>
      </c>
      <c r="D167" s="28" t="str">
        <f>IFERROR(INDEX(Dataset!P:P,MATCH(A167,Dataset!B:B,0)),"Not Found")</f>
        <v>Not Placed</v>
      </c>
    </row>
    <row r="168" spans="1:4" x14ac:dyDescent="0.3">
      <c r="A168" s="26" t="s">
        <v>331</v>
      </c>
      <c r="B168" s="27">
        <f>IFERROR(SUMIF(Dataset!B:B,A168,Dataset!Q:Q),0)</f>
        <v>85.12</v>
      </c>
      <c r="C168" s="22">
        <f>IFERROR(SUMIF(Dataset!B:B,A168,Dataset!K:K),0)</f>
        <v>5</v>
      </c>
      <c r="D168" s="28" t="str">
        <f>IFERROR(INDEX(Dataset!P:P,MATCH(A168,Dataset!B:B,0)),"Not Found")</f>
        <v>Placed</v>
      </c>
    </row>
    <row r="169" spans="1:4" x14ac:dyDescent="0.3">
      <c r="A169" s="26" t="s">
        <v>333</v>
      </c>
      <c r="B169" s="27">
        <f>IFERROR(SUMIF(Dataset!B:B,A169,Dataset!Q:Q),0)</f>
        <v>64.83</v>
      </c>
      <c r="C169" s="22">
        <f>IFERROR(SUMIF(Dataset!B:B,A169,Dataset!K:K),0)</f>
        <v>0</v>
      </c>
      <c r="D169" s="28" t="str">
        <f>IFERROR(INDEX(Dataset!P:P,MATCH(A169,Dataset!B:B,0)),"Not Found")</f>
        <v>Not Placed</v>
      </c>
    </row>
    <row r="170" spans="1:4" x14ac:dyDescent="0.3">
      <c r="A170" s="26" t="s">
        <v>335</v>
      </c>
      <c r="B170" s="27">
        <f>IFERROR(SUMIF(Dataset!B:B,A170,Dataset!Q:Q),0)</f>
        <v>66.11</v>
      </c>
      <c r="C170" s="22">
        <f>IFERROR(SUMIF(Dataset!B:B,A170,Dataset!K:K),0)</f>
        <v>5</v>
      </c>
      <c r="D170" s="28" t="str">
        <f>IFERROR(INDEX(Dataset!P:P,MATCH(A170,Dataset!B:B,0)),"Not Found")</f>
        <v>Placed</v>
      </c>
    </row>
    <row r="171" spans="1:4" x14ac:dyDescent="0.3">
      <c r="A171" s="26" t="s">
        <v>337</v>
      </c>
      <c r="B171" s="27">
        <f>IFERROR(SUMIF(Dataset!B:B,A171,Dataset!Q:Q),0)</f>
        <v>81.13</v>
      </c>
      <c r="C171" s="22">
        <f>IFERROR(SUMIF(Dataset!B:B,A171,Dataset!K:K),0)</f>
        <v>0</v>
      </c>
      <c r="D171" s="28" t="str">
        <f>IFERROR(INDEX(Dataset!P:P,MATCH(A171,Dataset!B:B,0)),"Not Found")</f>
        <v>Placed</v>
      </c>
    </row>
    <row r="172" spans="1:4" x14ac:dyDescent="0.3">
      <c r="A172" s="26" t="s">
        <v>339</v>
      </c>
      <c r="B172" s="27">
        <f>IFERROR(SUMIF(Dataset!B:B,A172,Dataset!Q:Q),0)</f>
        <v>74.349999999999994</v>
      </c>
      <c r="C172" s="22">
        <f>IFERROR(SUMIF(Dataset!B:B,A172,Dataset!K:K),0)</f>
        <v>5</v>
      </c>
      <c r="D172" s="28" t="str">
        <f>IFERROR(INDEX(Dataset!P:P,MATCH(A172,Dataset!B:B,0)),"Not Found")</f>
        <v>Not Placed</v>
      </c>
    </row>
    <row r="173" spans="1:4" x14ac:dyDescent="0.3">
      <c r="A173" s="26" t="s">
        <v>341</v>
      </c>
      <c r="B173" s="27">
        <f>IFERROR(SUMIF(Dataset!B:B,A173,Dataset!Q:Q),0)</f>
        <v>86.24</v>
      </c>
      <c r="C173" s="22">
        <f>IFERROR(SUMIF(Dataset!B:B,A173,Dataset!K:K),0)</f>
        <v>2</v>
      </c>
      <c r="D173" s="28" t="str">
        <f>IFERROR(INDEX(Dataset!P:P,MATCH(A173,Dataset!B:B,0)),"Not Found")</f>
        <v>Placed</v>
      </c>
    </row>
    <row r="174" spans="1:4" x14ac:dyDescent="0.3">
      <c r="A174" s="26" t="s">
        <v>343</v>
      </c>
      <c r="B174" s="27">
        <f>IFERROR(SUMIF(Dataset!B:B,A174,Dataset!Q:Q),0)</f>
        <v>83.23</v>
      </c>
      <c r="C174" s="22">
        <f>IFERROR(SUMIF(Dataset!B:B,A174,Dataset!K:K),0)</f>
        <v>3</v>
      </c>
      <c r="D174" s="28" t="str">
        <f>IFERROR(INDEX(Dataset!P:P,MATCH(A174,Dataset!B:B,0)),"Not Found")</f>
        <v>Not Placed</v>
      </c>
    </row>
    <row r="175" spans="1:4" x14ac:dyDescent="0.3">
      <c r="A175" s="26" t="s">
        <v>345</v>
      </c>
      <c r="B175" s="27">
        <f>IFERROR(SUMIF(Dataset!B:B,A175,Dataset!Q:Q),0)</f>
        <v>83.63</v>
      </c>
      <c r="C175" s="22">
        <f>IFERROR(SUMIF(Dataset!B:B,A175,Dataset!K:K),0)</f>
        <v>3</v>
      </c>
      <c r="D175" s="28" t="str">
        <f>IFERROR(INDEX(Dataset!P:P,MATCH(A175,Dataset!B:B,0)),"Not Found")</f>
        <v>Placed</v>
      </c>
    </row>
    <row r="176" spans="1:4" x14ac:dyDescent="0.3">
      <c r="A176" s="26" t="s">
        <v>347</v>
      </c>
      <c r="B176" s="27">
        <f>IFERROR(SUMIF(Dataset!B:B,A176,Dataset!Q:Q),0)</f>
        <v>87.39</v>
      </c>
      <c r="C176" s="22">
        <f>IFERROR(SUMIF(Dataset!B:B,A176,Dataset!K:K),0)</f>
        <v>0</v>
      </c>
      <c r="D176" s="28" t="str">
        <f>IFERROR(INDEX(Dataset!P:P,MATCH(A176,Dataset!B:B,0)),"Not Found")</f>
        <v>Placed</v>
      </c>
    </row>
    <row r="177" spans="1:4" x14ac:dyDescent="0.3">
      <c r="A177" s="26" t="s">
        <v>349</v>
      </c>
      <c r="B177" s="27">
        <f>IFERROR(SUMIF(Dataset!B:B,A177,Dataset!Q:Q),0)</f>
        <v>83.99</v>
      </c>
      <c r="C177" s="22">
        <f>IFERROR(SUMIF(Dataset!B:B,A177,Dataset!K:K),0)</f>
        <v>1</v>
      </c>
      <c r="D177" s="28" t="str">
        <f>IFERROR(INDEX(Dataset!P:P,MATCH(A177,Dataset!B:B,0)),"Not Found")</f>
        <v>Placed</v>
      </c>
    </row>
    <row r="178" spans="1:4" x14ac:dyDescent="0.3">
      <c r="A178" s="26" t="s">
        <v>351</v>
      </c>
      <c r="B178" s="27">
        <f>IFERROR(SUMIF(Dataset!B:B,A178,Dataset!Q:Q),0)</f>
        <v>71.03</v>
      </c>
      <c r="C178" s="22">
        <f>IFERROR(SUMIF(Dataset!B:B,A178,Dataset!K:K),0)</f>
        <v>4</v>
      </c>
      <c r="D178" s="28" t="str">
        <f>IFERROR(INDEX(Dataset!P:P,MATCH(A178,Dataset!B:B,0)),"Not Found")</f>
        <v>Not Placed</v>
      </c>
    </row>
    <row r="179" spans="1:4" x14ac:dyDescent="0.3">
      <c r="A179" s="26" t="s">
        <v>353</v>
      </c>
      <c r="B179" s="27">
        <f>IFERROR(SUMIF(Dataset!B:B,A179,Dataset!Q:Q),0)</f>
        <v>83.43</v>
      </c>
      <c r="C179" s="22">
        <f>IFERROR(SUMIF(Dataset!B:B,A179,Dataset!K:K),0)</f>
        <v>4</v>
      </c>
      <c r="D179" s="28" t="str">
        <f>IFERROR(INDEX(Dataset!P:P,MATCH(A179,Dataset!B:B,0)),"Not Found")</f>
        <v>Placed</v>
      </c>
    </row>
    <row r="180" spans="1:4" x14ac:dyDescent="0.3">
      <c r="A180" s="26" t="s">
        <v>355</v>
      </c>
      <c r="B180" s="27">
        <f>IFERROR(SUMIF(Dataset!B:B,A180,Dataset!Q:Q),0)</f>
        <v>71.75</v>
      </c>
      <c r="C180" s="22">
        <f>IFERROR(SUMIF(Dataset!B:B,A180,Dataset!K:K),0)</f>
        <v>0</v>
      </c>
      <c r="D180" s="28" t="str">
        <f>IFERROR(INDEX(Dataset!P:P,MATCH(A180,Dataset!B:B,0)),"Not Found")</f>
        <v>Placed</v>
      </c>
    </row>
    <row r="181" spans="1:4" x14ac:dyDescent="0.3">
      <c r="A181" s="26" t="s">
        <v>357</v>
      </c>
      <c r="B181" s="27">
        <f>IFERROR(SUMIF(Dataset!B:B,A181,Dataset!Q:Q),0)</f>
        <v>80.44</v>
      </c>
      <c r="C181" s="22">
        <f>IFERROR(SUMIF(Dataset!B:B,A181,Dataset!K:K),0)</f>
        <v>5</v>
      </c>
      <c r="D181" s="28" t="str">
        <f>IFERROR(INDEX(Dataset!P:P,MATCH(A181,Dataset!B:B,0)),"Not Found")</f>
        <v>Placed</v>
      </c>
    </row>
    <row r="182" spans="1:4" x14ac:dyDescent="0.3">
      <c r="A182" s="26" t="s">
        <v>359</v>
      </c>
      <c r="B182" s="27">
        <f>IFERROR(SUMIF(Dataset!B:B,A182,Dataset!Q:Q),0)</f>
        <v>81.08</v>
      </c>
      <c r="C182" s="22">
        <f>IFERROR(SUMIF(Dataset!B:B,A182,Dataset!K:K),0)</f>
        <v>1</v>
      </c>
      <c r="D182" s="28" t="str">
        <f>IFERROR(INDEX(Dataset!P:P,MATCH(A182,Dataset!B:B,0)),"Not Found")</f>
        <v>Not Placed</v>
      </c>
    </row>
    <row r="183" spans="1:4" x14ac:dyDescent="0.3">
      <c r="A183" s="26" t="s">
        <v>361</v>
      </c>
      <c r="B183" s="27">
        <f>IFERROR(SUMIF(Dataset!B:B,A183,Dataset!Q:Q),0)</f>
        <v>83.65</v>
      </c>
      <c r="C183" s="22">
        <f>IFERROR(SUMIF(Dataset!B:B,A183,Dataset!K:K),0)</f>
        <v>2</v>
      </c>
      <c r="D183" s="28" t="str">
        <f>IFERROR(INDEX(Dataset!P:P,MATCH(A183,Dataset!B:B,0)),"Not Found")</f>
        <v>Not Placed</v>
      </c>
    </row>
    <row r="184" spans="1:4" x14ac:dyDescent="0.3">
      <c r="A184" s="26" t="s">
        <v>363</v>
      </c>
      <c r="B184" s="27">
        <f>IFERROR(SUMIF(Dataset!B:B,A184,Dataset!Q:Q),0)</f>
        <v>70.67</v>
      </c>
      <c r="C184" s="22">
        <f>IFERROR(SUMIF(Dataset!B:B,A184,Dataset!K:K),0)</f>
        <v>5</v>
      </c>
      <c r="D184" s="28" t="str">
        <f>IFERROR(INDEX(Dataset!P:P,MATCH(A184,Dataset!B:B,0)),"Not Found")</f>
        <v>Placed</v>
      </c>
    </row>
    <row r="185" spans="1:4" x14ac:dyDescent="0.3">
      <c r="A185" s="26" t="s">
        <v>365</v>
      </c>
      <c r="B185" s="27">
        <f>IFERROR(SUMIF(Dataset!B:B,A185,Dataset!Q:Q),0)</f>
        <v>67.36</v>
      </c>
      <c r="C185" s="22">
        <f>IFERROR(SUMIF(Dataset!B:B,A185,Dataset!K:K),0)</f>
        <v>5</v>
      </c>
      <c r="D185" s="28" t="str">
        <f>IFERROR(INDEX(Dataset!P:P,MATCH(A185,Dataset!B:B,0)),"Not Found")</f>
        <v>Not Placed</v>
      </c>
    </row>
    <row r="186" spans="1:4" x14ac:dyDescent="0.3">
      <c r="A186" s="26" t="s">
        <v>367</v>
      </c>
      <c r="B186" s="27">
        <f>IFERROR(SUMIF(Dataset!B:B,A186,Dataset!Q:Q),0)</f>
        <v>69.84</v>
      </c>
      <c r="C186" s="22">
        <f>IFERROR(SUMIF(Dataset!B:B,A186,Dataset!K:K),0)</f>
        <v>0</v>
      </c>
      <c r="D186" s="28" t="str">
        <f>IFERROR(INDEX(Dataset!P:P,MATCH(A186,Dataset!B:B,0)),"Not Found")</f>
        <v>Not Placed</v>
      </c>
    </row>
    <row r="187" spans="1:4" x14ac:dyDescent="0.3">
      <c r="A187" s="26" t="s">
        <v>369</v>
      </c>
      <c r="B187" s="27">
        <f>IFERROR(SUMIF(Dataset!B:B,A187,Dataset!Q:Q),0)</f>
        <v>80.37</v>
      </c>
      <c r="C187" s="22">
        <f>IFERROR(SUMIF(Dataset!B:B,A187,Dataset!K:K),0)</f>
        <v>0</v>
      </c>
      <c r="D187" s="28" t="str">
        <f>IFERROR(INDEX(Dataset!P:P,MATCH(A187,Dataset!B:B,0)),"Not Found")</f>
        <v>Not Placed</v>
      </c>
    </row>
    <row r="188" spans="1:4" x14ac:dyDescent="0.3">
      <c r="A188" s="26" t="s">
        <v>371</v>
      </c>
      <c r="B188" s="27">
        <f>IFERROR(SUMIF(Dataset!B:B,A188,Dataset!Q:Q),0)</f>
        <v>67.25</v>
      </c>
      <c r="C188" s="22">
        <f>IFERROR(SUMIF(Dataset!B:B,A188,Dataset!K:K),0)</f>
        <v>4</v>
      </c>
      <c r="D188" s="28" t="str">
        <f>IFERROR(INDEX(Dataset!P:P,MATCH(A188,Dataset!B:B,0)),"Not Found")</f>
        <v>Placed</v>
      </c>
    </row>
    <row r="189" spans="1:4" x14ac:dyDescent="0.3">
      <c r="A189" s="26" t="s">
        <v>373</v>
      </c>
      <c r="B189" s="27">
        <f>IFERROR(SUMIF(Dataset!B:B,A189,Dataset!Q:Q),0)</f>
        <v>85.33</v>
      </c>
      <c r="C189" s="22">
        <f>IFERROR(SUMIF(Dataset!B:B,A189,Dataset!K:K),0)</f>
        <v>0</v>
      </c>
      <c r="D189" s="28" t="str">
        <f>IFERROR(INDEX(Dataset!P:P,MATCH(A189,Dataset!B:B,0)),"Not Found")</f>
        <v>Not Placed</v>
      </c>
    </row>
    <row r="190" spans="1:4" x14ac:dyDescent="0.3">
      <c r="A190" s="26" t="s">
        <v>375</v>
      </c>
      <c r="B190" s="27">
        <f>IFERROR(SUMIF(Dataset!B:B,A190,Dataset!Q:Q),0)</f>
        <v>65.930000000000007</v>
      </c>
      <c r="C190" s="22">
        <f>IFERROR(SUMIF(Dataset!B:B,A190,Dataset!K:K),0)</f>
        <v>0</v>
      </c>
      <c r="D190" s="28" t="str">
        <f>IFERROR(INDEX(Dataset!P:P,MATCH(A190,Dataset!B:B,0)),"Not Found")</f>
        <v>Placed</v>
      </c>
    </row>
    <row r="191" spans="1:4" x14ac:dyDescent="0.3">
      <c r="A191" s="26" t="s">
        <v>377</v>
      </c>
      <c r="B191" s="27">
        <f>IFERROR(SUMIF(Dataset!B:B,A191,Dataset!Q:Q),0)</f>
        <v>58.76</v>
      </c>
      <c r="C191" s="22">
        <f>IFERROR(SUMIF(Dataset!B:B,A191,Dataset!K:K),0)</f>
        <v>0</v>
      </c>
      <c r="D191" s="28" t="str">
        <f>IFERROR(INDEX(Dataset!P:P,MATCH(A191,Dataset!B:B,0)),"Not Found")</f>
        <v>Placed</v>
      </c>
    </row>
    <row r="192" spans="1:4" x14ac:dyDescent="0.3">
      <c r="A192" s="26" t="s">
        <v>379</v>
      </c>
      <c r="B192" s="27">
        <f>IFERROR(SUMIF(Dataset!B:B,A192,Dataset!Q:Q),0)</f>
        <v>79.239999999999995</v>
      </c>
      <c r="C192" s="22">
        <f>IFERROR(SUMIF(Dataset!B:B,A192,Dataset!K:K),0)</f>
        <v>4</v>
      </c>
      <c r="D192" s="28" t="str">
        <f>IFERROR(INDEX(Dataset!P:P,MATCH(A192,Dataset!B:B,0)),"Not Found")</f>
        <v>Placed</v>
      </c>
    </row>
    <row r="193" spans="1:4" x14ac:dyDescent="0.3">
      <c r="A193" s="26" t="s">
        <v>381</v>
      </c>
      <c r="B193" s="27">
        <f>IFERROR(SUMIF(Dataset!B:B,A193,Dataset!Q:Q),0)</f>
        <v>82.79</v>
      </c>
      <c r="C193" s="22">
        <f>IFERROR(SUMIF(Dataset!B:B,A193,Dataset!K:K),0)</f>
        <v>2</v>
      </c>
      <c r="D193" s="28" t="str">
        <f>IFERROR(INDEX(Dataset!P:P,MATCH(A193,Dataset!B:B,0)),"Not Found")</f>
        <v>Placed</v>
      </c>
    </row>
    <row r="194" spans="1:4" x14ac:dyDescent="0.3">
      <c r="A194" s="26" t="s">
        <v>383</v>
      </c>
      <c r="B194" s="27">
        <f>IFERROR(SUMIF(Dataset!B:B,A194,Dataset!Q:Q),0)</f>
        <v>76.3</v>
      </c>
      <c r="C194" s="22">
        <f>IFERROR(SUMIF(Dataset!B:B,A194,Dataset!K:K),0)</f>
        <v>2</v>
      </c>
      <c r="D194" s="28" t="str">
        <f>IFERROR(INDEX(Dataset!P:P,MATCH(A194,Dataset!B:B,0)),"Not Found")</f>
        <v>Placed</v>
      </c>
    </row>
    <row r="195" spans="1:4" x14ac:dyDescent="0.3">
      <c r="A195" s="26" t="s">
        <v>385</v>
      </c>
      <c r="B195" s="27">
        <f>IFERROR(SUMIF(Dataset!B:B,A195,Dataset!Q:Q),0)</f>
        <v>73.349999999999994</v>
      </c>
      <c r="C195" s="22">
        <f>IFERROR(SUMIF(Dataset!B:B,A195,Dataset!K:K),0)</f>
        <v>0</v>
      </c>
      <c r="D195" s="28" t="str">
        <f>IFERROR(INDEX(Dataset!P:P,MATCH(A195,Dataset!B:B,0)),"Not Found")</f>
        <v>Placed</v>
      </c>
    </row>
    <row r="196" spans="1:4" x14ac:dyDescent="0.3">
      <c r="A196" s="26" t="s">
        <v>387</v>
      </c>
      <c r="B196" s="27">
        <f>IFERROR(SUMIF(Dataset!B:B,A196,Dataset!Q:Q),0)</f>
        <v>72.56</v>
      </c>
      <c r="C196" s="22">
        <f>IFERROR(SUMIF(Dataset!B:B,A196,Dataset!K:K),0)</f>
        <v>4</v>
      </c>
      <c r="D196" s="28" t="str">
        <f>IFERROR(INDEX(Dataset!P:P,MATCH(A196,Dataset!B:B,0)),"Not Found")</f>
        <v>Not Placed</v>
      </c>
    </row>
    <row r="197" spans="1:4" x14ac:dyDescent="0.3">
      <c r="A197" s="26" t="s">
        <v>389</v>
      </c>
      <c r="B197" s="27">
        <f>IFERROR(SUMIF(Dataset!B:B,A197,Dataset!Q:Q),0)</f>
        <v>70.349999999999994</v>
      </c>
      <c r="C197" s="22">
        <f>IFERROR(SUMIF(Dataset!B:B,A197,Dataset!K:K),0)</f>
        <v>2</v>
      </c>
      <c r="D197" s="28" t="str">
        <f>IFERROR(INDEX(Dataset!P:P,MATCH(A197,Dataset!B:B,0)),"Not Found")</f>
        <v>Placed</v>
      </c>
    </row>
    <row r="198" spans="1:4" x14ac:dyDescent="0.3">
      <c r="A198" s="26" t="s">
        <v>391</v>
      </c>
      <c r="B198" s="27">
        <f>IFERROR(SUMIF(Dataset!B:B,A198,Dataset!Q:Q),0)</f>
        <v>70.790000000000006</v>
      </c>
      <c r="C198" s="22">
        <f>IFERROR(SUMIF(Dataset!B:B,A198,Dataset!K:K),0)</f>
        <v>5</v>
      </c>
      <c r="D198" s="28" t="str">
        <f>IFERROR(INDEX(Dataset!P:P,MATCH(A198,Dataset!B:B,0)),"Not Found")</f>
        <v>Placed</v>
      </c>
    </row>
    <row r="199" spans="1:4" x14ac:dyDescent="0.3">
      <c r="A199" s="26" t="s">
        <v>393</v>
      </c>
      <c r="B199" s="27">
        <f>IFERROR(SUMIF(Dataset!B:B,A199,Dataset!Q:Q),0)</f>
        <v>80.260000000000005</v>
      </c>
      <c r="C199" s="22">
        <f>IFERROR(SUMIF(Dataset!B:B,A199,Dataset!K:K),0)</f>
        <v>2</v>
      </c>
      <c r="D199" s="28" t="str">
        <f>IFERROR(INDEX(Dataset!P:P,MATCH(A199,Dataset!B:B,0)),"Not Found")</f>
        <v>Placed</v>
      </c>
    </row>
    <row r="200" spans="1:4" x14ac:dyDescent="0.3">
      <c r="A200" s="26" t="s">
        <v>395</v>
      </c>
      <c r="B200" s="27">
        <f>IFERROR(SUMIF(Dataset!B:B,A200,Dataset!Q:Q),0)</f>
        <v>75.569999999999993</v>
      </c>
      <c r="C200" s="22">
        <f>IFERROR(SUMIF(Dataset!B:B,A200,Dataset!K:K),0)</f>
        <v>2</v>
      </c>
      <c r="D200" s="28" t="str">
        <f>IFERROR(INDEX(Dataset!P:P,MATCH(A200,Dataset!B:B,0)),"Not Found")</f>
        <v>Placed</v>
      </c>
    </row>
    <row r="201" spans="1:4" x14ac:dyDescent="0.3">
      <c r="A201" s="26" t="s">
        <v>397</v>
      </c>
      <c r="B201" s="27">
        <f>IFERROR(SUMIF(Dataset!B:B,A201,Dataset!Q:Q),0)</f>
        <v>86.36</v>
      </c>
      <c r="C201" s="22">
        <f>IFERROR(SUMIF(Dataset!B:B,A201,Dataset!K:K),0)</f>
        <v>4</v>
      </c>
      <c r="D201" s="28" t="str">
        <f>IFERROR(INDEX(Dataset!P:P,MATCH(A201,Dataset!B:B,0)),"Not Found")</f>
        <v>Placed</v>
      </c>
    </row>
    <row r="202" spans="1:4" x14ac:dyDescent="0.3">
      <c r="A202" s="26" t="s">
        <v>399</v>
      </c>
      <c r="B202" s="27">
        <f>IFERROR(SUMIF(Dataset!B:B,A202,Dataset!Q:Q),0)</f>
        <v>63.6</v>
      </c>
      <c r="C202" s="22">
        <f>IFERROR(SUMIF(Dataset!B:B,A202,Dataset!K:K),0)</f>
        <v>5</v>
      </c>
      <c r="D202" s="28" t="str">
        <f>IFERROR(INDEX(Dataset!P:P,MATCH(A202,Dataset!B:B,0)),"Not Found")</f>
        <v>Not Placed</v>
      </c>
    </row>
    <row r="203" spans="1:4" x14ac:dyDescent="0.3">
      <c r="A203" s="26" t="s">
        <v>401</v>
      </c>
      <c r="B203" s="27">
        <f>IFERROR(SUMIF(Dataset!B:B,A203,Dataset!Q:Q),0)</f>
        <v>63.47</v>
      </c>
      <c r="C203" s="22">
        <f>IFERROR(SUMIF(Dataset!B:B,A203,Dataset!K:K),0)</f>
        <v>4</v>
      </c>
      <c r="D203" s="28" t="str">
        <f>IFERROR(INDEX(Dataset!P:P,MATCH(A203,Dataset!B:B,0)),"Not Found")</f>
        <v>Placed</v>
      </c>
    </row>
    <row r="204" spans="1:4" x14ac:dyDescent="0.3">
      <c r="A204" s="26" t="s">
        <v>403</v>
      </c>
      <c r="B204" s="27">
        <f>IFERROR(SUMIF(Dataset!B:B,A204,Dataset!Q:Q),0)</f>
        <v>85.78</v>
      </c>
      <c r="C204" s="22">
        <f>IFERROR(SUMIF(Dataset!B:B,A204,Dataset!K:K),0)</f>
        <v>0</v>
      </c>
      <c r="D204" s="28" t="str">
        <f>IFERROR(INDEX(Dataset!P:P,MATCH(A204,Dataset!B:B,0)),"Not Found")</f>
        <v>Not Placed</v>
      </c>
    </row>
    <row r="205" spans="1:4" x14ac:dyDescent="0.3">
      <c r="A205" s="26" t="s">
        <v>405</v>
      </c>
      <c r="B205" s="27">
        <f>IFERROR(SUMIF(Dataset!B:B,A205,Dataset!Q:Q),0)</f>
        <v>61.81</v>
      </c>
      <c r="C205" s="22">
        <f>IFERROR(SUMIF(Dataset!B:B,A205,Dataset!K:K),0)</f>
        <v>3</v>
      </c>
      <c r="D205" s="28" t="str">
        <f>IFERROR(INDEX(Dataset!P:P,MATCH(A205,Dataset!B:B,0)),"Not Found")</f>
        <v>Not Placed</v>
      </c>
    </row>
    <row r="206" spans="1:4" x14ac:dyDescent="0.3">
      <c r="A206" s="26" t="s">
        <v>407</v>
      </c>
      <c r="B206" s="27">
        <f>IFERROR(SUMIF(Dataset!B:B,A206,Dataset!Q:Q),0)</f>
        <v>88.05</v>
      </c>
      <c r="C206" s="22">
        <f>IFERROR(SUMIF(Dataset!B:B,A206,Dataset!K:K),0)</f>
        <v>2</v>
      </c>
      <c r="D206" s="28" t="str">
        <f>IFERROR(INDEX(Dataset!P:P,MATCH(A206,Dataset!B:B,0)),"Not Found")</f>
        <v>Placed</v>
      </c>
    </row>
    <row r="207" spans="1:4" x14ac:dyDescent="0.3">
      <c r="A207" s="26" t="s">
        <v>409</v>
      </c>
      <c r="B207" s="27">
        <f>IFERROR(SUMIF(Dataset!B:B,A207,Dataset!Q:Q),0)</f>
        <v>86.81</v>
      </c>
      <c r="C207" s="22">
        <f>IFERROR(SUMIF(Dataset!B:B,A207,Dataset!K:K),0)</f>
        <v>3</v>
      </c>
      <c r="D207" s="28" t="str">
        <f>IFERROR(INDEX(Dataset!P:P,MATCH(A207,Dataset!B:B,0)),"Not Found")</f>
        <v>Placed</v>
      </c>
    </row>
    <row r="208" spans="1:4" x14ac:dyDescent="0.3">
      <c r="A208" s="26" t="s">
        <v>411</v>
      </c>
      <c r="B208" s="27">
        <f>IFERROR(SUMIF(Dataset!B:B,A208,Dataset!Q:Q),0)</f>
        <v>76.7</v>
      </c>
      <c r="C208" s="22">
        <f>IFERROR(SUMIF(Dataset!B:B,A208,Dataset!K:K),0)</f>
        <v>4</v>
      </c>
      <c r="D208" s="28" t="str">
        <f>IFERROR(INDEX(Dataset!P:P,MATCH(A208,Dataset!B:B,0)),"Not Found")</f>
        <v>Placed</v>
      </c>
    </row>
    <row r="209" spans="1:4" x14ac:dyDescent="0.3">
      <c r="A209" s="26" t="s">
        <v>413</v>
      </c>
      <c r="B209" s="27">
        <f>IFERROR(SUMIF(Dataset!B:B,A209,Dataset!Q:Q),0)</f>
        <v>84.1</v>
      </c>
      <c r="C209" s="22">
        <f>IFERROR(SUMIF(Dataset!B:B,A209,Dataset!K:K),0)</f>
        <v>4</v>
      </c>
      <c r="D209" s="28" t="str">
        <f>IFERROR(INDEX(Dataset!P:P,MATCH(A209,Dataset!B:B,0)),"Not Found")</f>
        <v>Placed</v>
      </c>
    </row>
    <row r="210" spans="1:4" x14ac:dyDescent="0.3">
      <c r="A210" s="26" t="s">
        <v>415</v>
      </c>
      <c r="B210" s="27">
        <f>IFERROR(SUMIF(Dataset!B:B,A210,Dataset!Q:Q),0)</f>
        <v>77.56</v>
      </c>
      <c r="C210" s="22">
        <f>IFERROR(SUMIF(Dataset!B:B,A210,Dataset!K:K),0)</f>
        <v>4</v>
      </c>
      <c r="D210" s="28" t="str">
        <f>IFERROR(INDEX(Dataset!P:P,MATCH(A210,Dataset!B:B,0)),"Not Found")</f>
        <v>Placed</v>
      </c>
    </row>
    <row r="211" spans="1:4" x14ac:dyDescent="0.3">
      <c r="A211" s="26" t="s">
        <v>417</v>
      </c>
      <c r="B211" s="27">
        <f>IFERROR(SUMIF(Dataset!B:B,A211,Dataset!Q:Q),0)</f>
        <v>91.33</v>
      </c>
      <c r="C211" s="22">
        <f>IFERROR(SUMIF(Dataset!B:B,A211,Dataset!K:K),0)</f>
        <v>3</v>
      </c>
      <c r="D211" s="28" t="str">
        <f>IFERROR(INDEX(Dataset!P:P,MATCH(A211,Dataset!B:B,0)),"Not Found")</f>
        <v>Placed</v>
      </c>
    </row>
    <row r="212" spans="1:4" x14ac:dyDescent="0.3">
      <c r="A212" s="26" t="s">
        <v>419</v>
      </c>
      <c r="B212" s="27">
        <f>IFERROR(SUMIF(Dataset!B:B,A212,Dataset!Q:Q),0)</f>
        <v>81.17</v>
      </c>
      <c r="C212" s="22">
        <f>IFERROR(SUMIF(Dataset!B:B,A212,Dataset!K:K),0)</f>
        <v>4</v>
      </c>
      <c r="D212" s="28" t="str">
        <f>IFERROR(INDEX(Dataset!P:P,MATCH(A212,Dataset!B:B,0)),"Not Found")</f>
        <v>Placed</v>
      </c>
    </row>
    <row r="213" spans="1:4" x14ac:dyDescent="0.3">
      <c r="A213" s="26" t="s">
        <v>421</v>
      </c>
      <c r="B213" s="27">
        <f>IFERROR(SUMIF(Dataset!B:B,A213,Dataset!Q:Q),0)</f>
        <v>80.48</v>
      </c>
      <c r="C213" s="22">
        <f>IFERROR(SUMIF(Dataset!B:B,A213,Dataset!K:K),0)</f>
        <v>0</v>
      </c>
      <c r="D213" s="28" t="str">
        <f>IFERROR(INDEX(Dataset!P:P,MATCH(A213,Dataset!B:B,0)),"Not Found")</f>
        <v>Placed</v>
      </c>
    </row>
    <row r="214" spans="1:4" x14ac:dyDescent="0.3">
      <c r="A214" s="26" t="s">
        <v>423</v>
      </c>
      <c r="B214" s="27">
        <f>IFERROR(SUMIF(Dataset!B:B,A214,Dataset!Q:Q),0)</f>
        <v>77.319999999999993</v>
      </c>
      <c r="C214" s="22">
        <f>IFERROR(SUMIF(Dataset!B:B,A214,Dataset!K:K),0)</f>
        <v>4</v>
      </c>
      <c r="D214" s="28" t="str">
        <f>IFERROR(INDEX(Dataset!P:P,MATCH(A214,Dataset!B:B,0)),"Not Found")</f>
        <v>Placed</v>
      </c>
    </row>
    <row r="215" spans="1:4" x14ac:dyDescent="0.3">
      <c r="A215" s="26" t="s">
        <v>425</v>
      </c>
      <c r="B215" s="27">
        <f>IFERROR(SUMIF(Dataset!B:B,A215,Dataset!Q:Q),0)</f>
        <v>71.569999999999993</v>
      </c>
      <c r="C215" s="22">
        <f>IFERROR(SUMIF(Dataset!B:B,A215,Dataset!K:K),0)</f>
        <v>1</v>
      </c>
      <c r="D215" s="28" t="str">
        <f>IFERROR(INDEX(Dataset!P:P,MATCH(A215,Dataset!B:B,0)),"Not Found")</f>
        <v>Not Placed</v>
      </c>
    </row>
    <row r="216" spans="1:4" x14ac:dyDescent="0.3">
      <c r="A216" s="26" t="s">
        <v>427</v>
      </c>
      <c r="B216" s="27">
        <f>IFERROR(SUMIF(Dataset!B:B,A216,Dataset!Q:Q),0)</f>
        <v>71.03</v>
      </c>
      <c r="C216" s="22">
        <f>IFERROR(SUMIF(Dataset!B:B,A216,Dataset!K:K),0)</f>
        <v>3</v>
      </c>
      <c r="D216" s="28" t="str">
        <f>IFERROR(INDEX(Dataset!P:P,MATCH(A216,Dataset!B:B,0)),"Not Found")</f>
        <v>Not Placed</v>
      </c>
    </row>
    <row r="217" spans="1:4" x14ac:dyDescent="0.3">
      <c r="A217" s="26" t="s">
        <v>429</v>
      </c>
      <c r="B217" s="27">
        <f>IFERROR(SUMIF(Dataset!B:B,A217,Dataset!Q:Q),0)</f>
        <v>67.069999999999993</v>
      </c>
      <c r="C217" s="22">
        <f>IFERROR(SUMIF(Dataset!B:B,A217,Dataset!K:K),0)</f>
        <v>1</v>
      </c>
      <c r="D217" s="28" t="str">
        <f>IFERROR(INDEX(Dataset!P:P,MATCH(A217,Dataset!B:B,0)),"Not Found")</f>
        <v>Not Placed</v>
      </c>
    </row>
    <row r="218" spans="1:4" x14ac:dyDescent="0.3">
      <c r="A218" s="26" t="s">
        <v>431</v>
      </c>
      <c r="B218" s="27">
        <f>IFERROR(SUMIF(Dataset!B:B,A218,Dataset!Q:Q),0)</f>
        <v>76.430000000000007</v>
      </c>
      <c r="C218" s="22">
        <f>IFERROR(SUMIF(Dataset!B:B,A218,Dataset!K:K),0)</f>
        <v>4</v>
      </c>
      <c r="D218" s="28" t="str">
        <f>IFERROR(INDEX(Dataset!P:P,MATCH(A218,Dataset!B:B,0)),"Not Found")</f>
        <v>Placed</v>
      </c>
    </row>
    <row r="219" spans="1:4" x14ac:dyDescent="0.3">
      <c r="A219" s="26" t="s">
        <v>433</v>
      </c>
      <c r="B219" s="27">
        <f>IFERROR(SUMIF(Dataset!B:B,A219,Dataset!Q:Q),0)</f>
        <v>66.63</v>
      </c>
      <c r="C219" s="22">
        <f>IFERROR(SUMIF(Dataset!B:B,A219,Dataset!K:K),0)</f>
        <v>0</v>
      </c>
      <c r="D219" s="28" t="str">
        <f>IFERROR(INDEX(Dataset!P:P,MATCH(A219,Dataset!B:B,0)),"Not Found")</f>
        <v>Placed</v>
      </c>
    </row>
    <row r="220" spans="1:4" x14ac:dyDescent="0.3">
      <c r="A220" s="26" t="s">
        <v>435</v>
      </c>
      <c r="B220" s="27">
        <f>IFERROR(SUMIF(Dataset!B:B,A220,Dataset!Q:Q),0)</f>
        <v>58.13</v>
      </c>
      <c r="C220" s="22">
        <f>IFERROR(SUMIF(Dataset!B:B,A220,Dataset!K:K),0)</f>
        <v>2</v>
      </c>
      <c r="D220" s="28" t="str">
        <f>IFERROR(INDEX(Dataset!P:P,MATCH(A220,Dataset!B:B,0)),"Not Found")</f>
        <v>Not Placed</v>
      </c>
    </row>
    <row r="221" spans="1:4" x14ac:dyDescent="0.3">
      <c r="A221" s="26" t="s">
        <v>437</v>
      </c>
      <c r="B221" s="27">
        <f>IFERROR(SUMIF(Dataset!B:B,A221,Dataset!Q:Q),0)</f>
        <v>63.15</v>
      </c>
      <c r="C221" s="22">
        <f>IFERROR(SUMIF(Dataset!B:B,A221,Dataset!K:K),0)</f>
        <v>5</v>
      </c>
      <c r="D221" s="28" t="str">
        <f>IFERROR(INDEX(Dataset!P:P,MATCH(A221,Dataset!B:B,0)),"Not Found")</f>
        <v>Not Placed</v>
      </c>
    </row>
    <row r="222" spans="1:4" x14ac:dyDescent="0.3">
      <c r="A222" s="26" t="s">
        <v>439</v>
      </c>
      <c r="B222" s="27">
        <f>IFERROR(SUMIF(Dataset!B:B,A222,Dataset!Q:Q),0)</f>
        <v>82.77</v>
      </c>
      <c r="C222" s="22">
        <f>IFERROR(SUMIF(Dataset!B:B,A222,Dataset!K:K),0)</f>
        <v>5</v>
      </c>
      <c r="D222" s="28" t="str">
        <f>IFERROR(INDEX(Dataset!P:P,MATCH(A222,Dataset!B:B,0)),"Not Found")</f>
        <v>Placed</v>
      </c>
    </row>
    <row r="223" spans="1:4" x14ac:dyDescent="0.3">
      <c r="A223" s="26" t="s">
        <v>441</v>
      </c>
      <c r="B223" s="27">
        <f>IFERROR(SUMIF(Dataset!B:B,A223,Dataset!Q:Q),0)</f>
        <v>73.2</v>
      </c>
      <c r="C223" s="22">
        <f>IFERROR(SUMIF(Dataset!B:B,A223,Dataset!K:K),0)</f>
        <v>4</v>
      </c>
      <c r="D223" s="28" t="str">
        <f>IFERROR(INDEX(Dataset!P:P,MATCH(A223,Dataset!B:B,0)),"Not Found")</f>
        <v>Not Placed</v>
      </c>
    </row>
    <row r="224" spans="1:4" x14ac:dyDescent="0.3">
      <c r="A224" s="26" t="s">
        <v>443</v>
      </c>
      <c r="B224" s="27">
        <f>IFERROR(SUMIF(Dataset!B:B,A224,Dataset!Q:Q),0)</f>
        <v>70.75</v>
      </c>
      <c r="C224" s="22">
        <f>IFERROR(SUMIF(Dataset!B:B,A224,Dataset!K:K),0)</f>
        <v>0</v>
      </c>
      <c r="D224" s="28" t="str">
        <f>IFERROR(INDEX(Dataset!P:P,MATCH(A224,Dataset!B:B,0)),"Not Found")</f>
        <v>Placed</v>
      </c>
    </row>
    <row r="225" spans="1:4" x14ac:dyDescent="0.3">
      <c r="A225" s="26" t="s">
        <v>445</v>
      </c>
      <c r="B225" s="27">
        <f>IFERROR(SUMIF(Dataset!B:B,A225,Dataset!Q:Q),0)</f>
        <v>71.55</v>
      </c>
      <c r="C225" s="22">
        <f>IFERROR(SUMIF(Dataset!B:B,A225,Dataset!K:K),0)</f>
        <v>3</v>
      </c>
      <c r="D225" s="28" t="str">
        <f>IFERROR(INDEX(Dataset!P:P,MATCH(A225,Dataset!B:B,0)),"Not Found")</f>
        <v>Placed</v>
      </c>
    </row>
    <row r="226" spans="1:4" x14ac:dyDescent="0.3">
      <c r="A226" s="26" t="s">
        <v>447</v>
      </c>
      <c r="B226" s="27">
        <f>IFERROR(SUMIF(Dataset!B:B,A226,Dataset!Q:Q),0)</f>
        <v>77.83</v>
      </c>
      <c r="C226" s="22">
        <f>IFERROR(SUMIF(Dataset!B:B,A226,Dataset!K:K),0)</f>
        <v>1</v>
      </c>
      <c r="D226" s="28" t="str">
        <f>IFERROR(INDEX(Dataset!P:P,MATCH(A226,Dataset!B:B,0)),"Not Found")</f>
        <v>Placed</v>
      </c>
    </row>
    <row r="227" spans="1:4" x14ac:dyDescent="0.3">
      <c r="A227" s="26" t="s">
        <v>449</v>
      </c>
      <c r="B227" s="27">
        <f>IFERROR(SUMIF(Dataset!B:B,A227,Dataset!Q:Q),0)</f>
        <v>68.09</v>
      </c>
      <c r="C227" s="22">
        <f>IFERROR(SUMIF(Dataset!B:B,A227,Dataset!K:K),0)</f>
        <v>1</v>
      </c>
      <c r="D227" s="28" t="str">
        <f>IFERROR(INDEX(Dataset!P:P,MATCH(A227,Dataset!B:B,0)),"Not Found")</f>
        <v>Placed</v>
      </c>
    </row>
    <row r="228" spans="1:4" x14ac:dyDescent="0.3">
      <c r="A228" s="26" t="s">
        <v>451</v>
      </c>
      <c r="B228" s="27">
        <f>IFERROR(SUMIF(Dataset!B:B,A228,Dataset!Q:Q),0)</f>
        <v>59.84</v>
      </c>
      <c r="C228" s="22">
        <f>IFERROR(SUMIF(Dataset!B:B,A228,Dataset!K:K),0)</f>
        <v>1</v>
      </c>
      <c r="D228" s="28" t="str">
        <f>IFERROR(INDEX(Dataset!P:P,MATCH(A228,Dataset!B:B,0)),"Not Found")</f>
        <v>Placed</v>
      </c>
    </row>
    <row r="229" spans="1:4" x14ac:dyDescent="0.3">
      <c r="A229" s="26" t="s">
        <v>453</v>
      </c>
      <c r="B229" s="27">
        <f>IFERROR(SUMIF(Dataset!B:B,A229,Dataset!Q:Q),0)</f>
        <v>85.23</v>
      </c>
      <c r="C229" s="22">
        <f>IFERROR(SUMIF(Dataset!B:B,A229,Dataset!K:K),0)</f>
        <v>3</v>
      </c>
      <c r="D229" s="28" t="str">
        <f>IFERROR(INDEX(Dataset!P:P,MATCH(A229,Dataset!B:B,0)),"Not Found")</f>
        <v>Not Placed</v>
      </c>
    </row>
    <row r="230" spans="1:4" x14ac:dyDescent="0.3">
      <c r="A230" s="26" t="s">
        <v>455</v>
      </c>
      <c r="B230" s="27">
        <f>IFERROR(SUMIF(Dataset!B:B,A230,Dataset!Q:Q),0)</f>
        <v>87.19</v>
      </c>
      <c r="C230" s="22">
        <f>IFERROR(SUMIF(Dataset!B:B,A230,Dataset!K:K),0)</f>
        <v>5</v>
      </c>
      <c r="D230" s="28" t="str">
        <f>IFERROR(INDEX(Dataset!P:P,MATCH(A230,Dataset!B:B,0)),"Not Found")</f>
        <v>Not Placed</v>
      </c>
    </row>
    <row r="231" spans="1:4" x14ac:dyDescent="0.3">
      <c r="A231" s="26" t="s">
        <v>457</v>
      </c>
      <c r="B231" s="27">
        <f>IFERROR(SUMIF(Dataset!B:B,A231,Dataset!Q:Q),0)</f>
        <v>76.59</v>
      </c>
      <c r="C231" s="22">
        <f>IFERROR(SUMIF(Dataset!B:B,A231,Dataset!K:K),0)</f>
        <v>0</v>
      </c>
      <c r="D231" s="28" t="str">
        <f>IFERROR(INDEX(Dataset!P:P,MATCH(A231,Dataset!B:B,0)),"Not Found")</f>
        <v>Not Placed</v>
      </c>
    </row>
    <row r="232" spans="1:4" x14ac:dyDescent="0.3">
      <c r="A232" s="26" t="s">
        <v>459</v>
      </c>
      <c r="B232" s="27">
        <f>IFERROR(SUMIF(Dataset!B:B,A232,Dataset!Q:Q),0)</f>
        <v>77.53</v>
      </c>
      <c r="C232" s="22">
        <f>IFERROR(SUMIF(Dataset!B:B,A232,Dataset!K:K),0)</f>
        <v>3</v>
      </c>
      <c r="D232" s="28" t="str">
        <f>IFERROR(INDEX(Dataset!P:P,MATCH(A232,Dataset!B:B,0)),"Not Found")</f>
        <v>Not Placed</v>
      </c>
    </row>
    <row r="233" spans="1:4" x14ac:dyDescent="0.3">
      <c r="A233" s="26" t="s">
        <v>461</v>
      </c>
      <c r="B233" s="27">
        <f>IFERROR(SUMIF(Dataset!B:B,A233,Dataset!Q:Q),0)</f>
        <v>66.44</v>
      </c>
      <c r="C233" s="22">
        <f>IFERROR(SUMIF(Dataset!B:B,A233,Dataset!K:K),0)</f>
        <v>1</v>
      </c>
      <c r="D233" s="28" t="str">
        <f>IFERROR(INDEX(Dataset!P:P,MATCH(A233,Dataset!B:B,0)),"Not Found")</f>
        <v>Placed</v>
      </c>
    </row>
    <row r="234" spans="1:4" x14ac:dyDescent="0.3">
      <c r="A234" s="26" t="s">
        <v>463</v>
      </c>
      <c r="B234" s="27">
        <f>IFERROR(SUMIF(Dataset!B:B,A234,Dataset!Q:Q),0)</f>
        <v>89.69</v>
      </c>
      <c r="C234" s="22">
        <f>IFERROR(SUMIF(Dataset!B:B,A234,Dataset!K:K),0)</f>
        <v>4</v>
      </c>
      <c r="D234" s="28" t="str">
        <f>IFERROR(INDEX(Dataset!P:P,MATCH(A234,Dataset!B:B,0)),"Not Found")</f>
        <v>Not Placed</v>
      </c>
    </row>
    <row r="235" spans="1:4" x14ac:dyDescent="0.3">
      <c r="A235" s="26" t="s">
        <v>465</v>
      </c>
      <c r="B235" s="27">
        <f>IFERROR(SUMIF(Dataset!B:B,A235,Dataset!Q:Q),0)</f>
        <v>66.5</v>
      </c>
      <c r="C235" s="22">
        <f>IFERROR(SUMIF(Dataset!B:B,A235,Dataset!K:K),0)</f>
        <v>2</v>
      </c>
      <c r="D235" s="28" t="str">
        <f>IFERROR(INDEX(Dataset!P:P,MATCH(A235,Dataset!B:B,0)),"Not Found")</f>
        <v>Not Placed</v>
      </c>
    </row>
    <row r="236" spans="1:4" x14ac:dyDescent="0.3">
      <c r="A236" s="26" t="s">
        <v>467</v>
      </c>
      <c r="B236" s="27">
        <f>IFERROR(SUMIF(Dataset!B:B,A236,Dataset!Q:Q),0)</f>
        <v>81.42</v>
      </c>
      <c r="C236" s="22">
        <f>IFERROR(SUMIF(Dataset!B:B,A236,Dataset!K:K),0)</f>
        <v>3</v>
      </c>
      <c r="D236" s="28" t="str">
        <f>IFERROR(INDEX(Dataset!P:P,MATCH(A236,Dataset!B:B,0)),"Not Found")</f>
        <v>Placed</v>
      </c>
    </row>
    <row r="237" spans="1:4" x14ac:dyDescent="0.3">
      <c r="A237" s="26" t="s">
        <v>469</v>
      </c>
      <c r="B237" s="27">
        <f>IFERROR(SUMIF(Dataset!B:B,A237,Dataset!Q:Q),0)</f>
        <v>83.4</v>
      </c>
      <c r="C237" s="22">
        <f>IFERROR(SUMIF(Dataset!B:B,A237,Dataset!K:K),0)</f>
        <v>3</v>
      </c>
      <c r="D237" s="28" t="str">
        <f>IFERROR(INDEX(Dataset!P:P,MATCH(A237,Dataset!B:B,0)),"Not Found")</f>
        <v>Not Placed</v>
      </c>
    </row>
    <row r="238" spans="1:4" x14ac:dyDescent="0.3">
      <c r="A238" s="26" t="s">
        <v>471</v>
      </c>
      <c r="B238" s="27">
        <f>IFERROR(SUMIF(Dataset!B:B,A238,Dataset!Q:Q),0)</f>
        <v>64.319999999999993</v>
      </c>
      <c r="C238" s="22">
        <f>IFERROR(SUMIF(Dataset!B:B,A238,Dataset!K:K),0)</f>
        <v>0</v>
      </c>
      <c r="D238" s="28" t="str">
        <f>IFERROR(INDEX(Dataset!P:P,MATCH(A238,Dataset!B:B,0)),"Not Found")</f>
        <v>Not Placed</v>
      </c>
    </row>
    <row r="239" spans="1:4" x14ac:dyDescent="0.3">
      <c r="A239" s="26" t="s">
        <v>473</v>
      </c>
      <c r="B239" s="27">
        <f>IFERROR(SUMIF(Dataset!B:B,A239,Dataset!Q:Q),0)</f>
        <v>83.51</v>
      </c>
      <c r="C239" s="22">
        <f>IFERROR(SUMIF(Dataset!B:B,A239,Dataset!K:K),0)</f>
        <v>0</v>
      </c>
      <c r="D239" s="28" t="str">
        <f>IFERROR(INDEX(Dataset!P:P,MATCH(A239,Dataset!B:B,0)),"Not Found")</f>
        <v>Placed</v>
      </c>
    </row>
    <row r="240" spans="1:4" x14ac:dyDescent="0.3">
      <c r="A240" s="26" t="s">
        <v>475</v>
      </c>
      <c r="B240" s="27">
        <f>IFERROR(SUMIF(Dataset!B:B,A240,Dataset!Q:Q),0)</f>
        <v>85.07</v>
      </c>
      <c r="C240" s="22">
        <f>IFERROR(SUMIF(Dataset!B:B,A240,Dataset!K:K),0)</f>
        <v>3</v>
      </c>
      <c r="D240" s="28" t="str">
        <f>IFERROR(INDEX(Dataset!P:P,MATCH(A240,Dataset!B:B,0)),"Not Found")</f>
        <v>Not Placed</v>
      </c>
    </row>
    <row r="241" spans="1:4" x14ac:dyDescent="0.3">
      <c r="A241" s="26" t="s">
        <v>477</v>
      </c>
      <c r="B241" s="27">
        <f>IFERROR(SUMIF(Dataset!B:B,A241,Dataset!Q:Q),0)</f>
        <v>80.17</v>
      </c>
      <c r="C241" s="22">
        <f>IFERROR(SUMIF(Dataset!B:B,A241,Dataset!K:K),0)</f>
        <v>1</v>
      </c>
      <c r="D241" s="28" t="str">
        <f>IFERROR(INDEX(Dataset!P:P,MATCH(A241,Dataset!B:B,0)),"Not Found")</f>
        <v>Placed</v>
      </c>
    </row>
    <row r="242" spans="1:4" x14ac:dyDescent="0.3">
      <c r="A242" s="26" t="s">
        <v>479</v>
      </c>
      <c r="B242" s="27">
        <f>IFERROR(SUMIF(Dataset!B:B,A242,Dataset!Q:Q),0)</f>
        <v>74.87</v>
      </c>
      <c r="C242" s="22">
        <f>IFERROR(SUMIF(Dataset!B:B,A242,Dataset!K:K),0)</f>
        <v>2</v>
      </c>
      <c r="D242" s="28" t="str">
        <f>IFERROR(INDEX(Dataset!P:P,MATCH(A242,Dataset!B:B,0)),"Not Found")</f>
        <v>Placed</v>
      </c>
    </row>
    <row r="243" spans="1:4" x14ac:dyDescent="0.3">
      <c r="A243" s="26" t="s">
        <v>481</v>
      </c>
      <c r="B243" s="27">
        <f>IFERROR(SUMIF(Dataset!B:B,A243,Dataset!Q:Q),0)</f>
        <v>77.180000000000007</v>
      </c>
      <c r="C243" s="22">
        <f>IFERROR(SUMIF(Dataset!B:B,A243,Dataset!K:K),0)</f>
        <v>0</v>
      </c>
      <c r="D243" s="28" t="str">
        <f>IFERROR(INDEX(Dataset!P:P,MATCH(A243,Dataset!B:B,0)),"Not Found")</f>
        <v>Placed</v>
      </c>
    </row>
    <row r="244" spans="1:4" x14ac:dyDescent="0.3">
      <c r="A244" s="26" t="s">
        <v>483</v>
      </c>
      <c r="B244" s="27">
        <f>IFERROR(SUMIF(Dataset!B:B,A244,Dataset!Q:Q),0)</f>
        <v>86.87</v>
      </c>
      <c r="C244" s="22">
        <f>IFERROR(SUMIF(Dataset!B:B,A244,Dataset!K:K),0)</f>
        <v>1</v>
      </c>
      <c r="D244" s="28" t="str">
        <f>IFERROR(INDEX(Dataset!P:P,MATCH(A244,Dataset!B:B,0)),"Not Found")</f>
        <v>Not Placed</v>
      </c>
    </row>
    <row r="245" spans="1:4" x14ac:dyDescent="0.3">
      <c r="A245" s="26" t="s">
        <v>485</v>
      </c>
      <c r="B245" s="27">
        <f>IFERROR(SUMIF(Dataset!B:B,A245,Dataset!Q:Q),0)</f>
        <v>70.2</v>
      </c>
      <c r="C245" s="22">
        <f>IFERROR(SUMIF(Dataset!B:B,A245,Dataset!K:K),0)</f>
        <v>4</v>
      </c>
      <c r="D245" s="28" t="str">
        <f>IFERROR(INDEX(Dataset!P:P,MATCH(A245,Dataset!B:B,0)),"Not Found")</f>
        <v>Not Placed</v>
      </c>
    </row>
    <row r="246" spans="1:4" x14ac:dyDescent="0.3">
      <c r="A246" s="26" t="s">
        <v>487</v>
      </c>
      <c r="B246" s="27">
        <f>IFERROR(SUMIF(Dataset!B:B,A246,Dataset!Q:Q),0)</f>
        <v>85.45</v>
      </c>
      <c r="C246" s="22">
        <f>IFERROR(SUMIF(Dataset!B:B,A246,Dataset!K:K),0)</f>
        <v>0</v>
      </c>
      <c r="D246" s="28" t="str">
        <f>IFERROR(INDEX(Dataset!P:P,MATCH(A246,Dataset!B:B,0)),"Not Found")</f>
        <v>Not Placed</v>
      </c>
    </row>
    <row r="247" spans="1:4" x14ac:dyDescent="0.3">
      <c r="A247" s="26" t="s">
        <v>489</v>
      </c>
      <c r="B247" s="27">
        <f>IFERROR(SUMIF(Dataset!B:B,A247,Dataset!Q:Q),0)</f>
        <v>59.8</v>
      </c>
      <c r="C247" s="22">
        <f>IFERROR(SUMIF(Dataset!B:B,A247,Dataset!K:K),0)</f>
        <v>1</v>
      </c>
      <c r="D247" s="28" t="str">
        <f>IFERROR(INDEX(Dataset!P:P,MATCH(A247,Dataset!B:B,0)),"Not Found")</f>
        <v>Not Placed</v>
      </c>
    </row>
    <row r="248" spans="1:4" x14ac:dyDescent="0.3">
      <c r="A248" s="26" t="s">
        <v>491</v>
      </c>
      <c r="B248" s="27">
        <f>IFERROR(SUMIF(Dataset!B:B,A248,Dataset!Q:Q),0)</f>
        <v>75.849999999999994</v>
      </c>
      <c r="C248" s="22">
        <f>IFERROR(SUMIF(Dataset!B:B,A248,Dataset!K:K),0)</f>
        <v>1</v>
      </c>
      <c r="D248" s="28" t="str">
        <f>IFERROR(INDEX(Dataset!P:P,MATCH(A248,Dataset!B:B,0)),"Not Found")</f>
        <v>Not Placed</v>
      </c>
    </row>
    <row r="249" spans="1:4" x14ac:dyDescent="0.3">
      <c r="A249" s="26" t="s">
        <v>493</v>
      </c>
      <c r="B249" s="27">
        <f>IFERROR(SUMIF(Dataset!B:B,A249,Dataset!Q:Q),0)</f>
        <v>88.49</v>
      </c>
      <c r="C249" s="22">
        <f>IFERROR(SUMIF(Dataset!B:B,A249,Dataset!K:K),0)</f>
        <v>2</v>
      </c>
      <c r="D249" s="28" t="str">
        <f>IFERROR(INDEX(Dataset!P:P,MATCH(A249,Dataset!B:B,0)),"Not Found")</f>
        <v>Placed</v>
      </c>
    </row>
    <row r="250" spans="1:4" x14ac:dyDescent="0.3">
      <c r="A250" s="26" t="s">
        <v>495</v>
      </c>
      <c r="B250" s="27">
        <f>IFERROR(SUMIF(Dataset!B:B,A250,Dataset!Q:Q),0)</f>
        <v>88.74</v>
      </c>
      <c r="C250" s="22">
        <f>IFERROR(SUMIF(Dataset!B:B,A250,Dataset!K:K),0)</f>
        <v>2</v>
      </c>
      <c r="D250" s="28" t="str">
        <f>IFERROR(INDEX(Dataset!P:P,MATCH(A250,Dataset!B:B,0)),"Not Found")</f>
        <v>Placed</v>
      </c>
    </row>
    <row r="251" spans="1:4" x14ac:dyDescent="0.3">
      <c r="A251" s="26" t="s">
        <v>497</v>
      </c>
      <c r="B251" s="27">
        <f>IFERROR(SUMIF(Dataset!B:B,A251,Dataset!Q:Q),0)</f>
        <v>83.06</v>
      </c>
      <c r="C251" s="22">
        <f>IFERROR(SUMIF(Dataset!B:B,A251,Dataset!K:K),0)</f>
        <v>4</v>
      </c>
      <c r="D251" s="28" t="str">
        <f>IFERROR(INDEX(Dataset!P:P,MATCH(A251,Dataset!B:B,0)),"Not Found")</f>
        <v>Placed</v>
      </c>
    </row>
    <row r="252" spans="1:4" x14ac:dyDescent="0.3">
      <c r="A252" s="26" t="s">
        <v>499</v>
      </c>
      <c r="B252" s="27">
        <f>IFERROR(SUMIF(Dataset!B:B,A252,Dataset!Q:Q),0)</f>
        <v>73.099999999999994</v>
      </c>
      <c r="C252" s="22">
        <f>IFERROR(SUMIF(Dataset!B:B,A252,Dataset!K:K),0)</f>
        <v>1</v>
      </c>
      <c r="D252" s="28" t="str">
        <f>IFERROR(INDEX(Dataset!P:P,MATCH(A252,Dataset!B:B,0)),"Not Found")</f>
        <v>Not Placed</v>
      </c>
    </row>
    <row r="253" spans="1:4" x14ac:dyDescent="0.3">
      <c r="A253" s="26" t="s">
        <v>501</v>
      </c>
      <c r="B253" s="27">
        <f>IFERROR(SUMIF(Dataset!B:B,A253,Dataset!Q:Q),0)</f>
        <v>76.569999999999993</v>
      </c>
      <c r="C253" s="22">
        <f>IFERROR(SUMIF(Dataset!B:B,A253,Dataset!K:K),0)</f>
        <v>5</v>
      </c>
      <c r="D253" s="28" t="str">
        <f>IFERROR(INDEX(Dataset!P:P,MATCH(A253,Dataset!B:B,0)),"Not Found")</f>
        <v>Not Placed</v>
      </c>
    </row>
    <row r="254" spans="1:4" x14ac:dyDescent="0.3">
      <c r="A254" s="26" t="s">
        <v>503</v>
      </c>
      <c r="B254" s="27">
        <f>IFERROR(SUMIF(Dataset!B:B,A254,Dataset!Q:Q),0)</f>
        <v>88.56</v>
      </c>
      <c r="C254" s="22">
        <f>IFERROR(SUMIF(Dataset!B:B,A254,Dataset!K:K),0)</f>
        <v>1</v>
      </c>
      <c r="D254" s="28" t="str">
        <f>IFERROR(INDEX(Dataset!P:P,MATCH(A254,Dataset!B:B,0)),"Not Found")</f>
        <v>Not Placed</v>
      </c>
    </row>
    <row r="255" spans="1:4" x14ac:dyDescent="0.3">
      <c r="A255" s="26" t="s">
        <v>505</v>
      </c>
      <c r="B255" s="27">
        <f>IFERROR(SUMIF(Dataset!B:B,A255,Dataset!Q:Q),0)</f>
        <v>75.650000000000006</v>
      </c>
      <c r="C255" s="22">
        <f>IFERROR(SUMIF(Dataset!B:B,A255,Dataset!K:K),0)</f>
        <v>2</v>
      </c>
      <c r="D255" s="28" t="str">
        <f>IFERROR(INDEX(Dataset!P:P,MATCH(A255,Dataset!B:B,0)),"Not Found")</f>
        <v>Placed</v>
      </c>
    </row>
    <row r="256" spans="1:4" x14ac:dyDescent="0.3">
      <c r="A256" s="26" t="s">
        <v>507</v>
      </c>
      <c r="B256" s="27">
        <f>IFERROR(SUMIF(Dataset!B:B,A256,Dataset!Q:Q),0)</f>
        <v>84.35</v>
      </c>
      <c r="C256" s="22">
        <f>IFERROR(SUMIF(Dataset!B:B,A256,Dataset!K:K),0)</f>
        <v>5</v>
      </c>
      <c r="D256" s="28" t="str">
        <f>IFERROR(INDEX(Dataset!P:P,MATCH(A256,Dataset!B:B,0)),"Not Found")</f>
        <v>Placed</v>
      </c>
    </row>
    <row r="257" spans="1:4" x14ac:dyDescent="0.3">
      <c r="A257" s="26" t="s">
        <v>509</v>
      </c>
      <c r="B257" s="27">
        <f>IFERROR(SUMIF(Dataset!B:B,A257,Dataset!Q:Q),0)</f>
        <v>70.84</v>
      </c>
      <c r="C257" s="22">
        <f>IFERROR(SUMIF(Dataset!B:B,A257,Dataset!K:K),0)</f>
        <v>0</v>
      </c>
      <c r="D257" s="28" t="str">
        <f>IFERROR(INDEX(Dataset!P:P,MATCH(A257,Dataset!B:B,0)),"Not Found")</f>
        <v>Not Placed</v>
      </c>
    </row>
    <row r="258" spans="1:4" x14ac:dyDescent="0.3">
      <c r="A258" s="26" t="s">
        <v>511</v>
      </c>
      <c r="B258" s="27">
        <f>IFERROR(SUMIF(Dataset!B:B,A258,Dataset!Q:Q),0)</f>
        <v>77.290000000000006</v>
      </c>
      <c r="C258" s="22">
        <f>IFERROR(SUMIF(Dataset!B:B,A258,Dataset!K:K),0)</f>
        <v>0</v>
      </c>
      <c r="D258" s="28" t="str">
        <f>IFERROR(INDEX(Dataset!P:P,MATCH(A258,Dataset!B:B,0)),"Not Found")</f>
        <v>Placed</v>
      </c>
    </row>
    <row r="259" spans="1:4" x14ac:dyDescent="0.3">
      <c r="A259" s="26" t="s">
        <v>513</v>
      </c>
      <c r="B259" s="27">
        <f>IFERROR(SUMIF(Dataset!B:B,A259,Dataset!Q:Q),0)</f>
        <v>75.040000000000006</v>
      </c>
      <c r="C259" s="22">
        <f>IFERROR(SUMIF(Dataset!B:B,A259,Dataset!K:K),0)</f>
        <v>3</v>
      </c>
      <c r="D259" s="28" t="str">
        <f>IFERROR(INDEX(Dataset!P:P,MATCH(A259,Dataset!B:B,0)),"Not Found")</f>
        <v>Placed</v>
      </c>
    </row>
    <row r="260" spans="1:4" x14ac:dyDescent="0.3">
      <c r="A260" s="26" t="s">
        <v>515</v>
      </c>
      <c r="B260" s="27">
        <f>IFERROR(SUMIF(Dataset!B:B,A260,Dataset!Q:Q),0)</f>
        <v>71.209999999999994</v>
      </c>
      <c r="C260" s="22">
        <f>IFERROR(SUMIF(Dataset!B:B,A260,Dataset!K:K),0)</f>
        <v>2</v>
      </c>
      <c r="D260" s="28" t="str">
        <f>IFERROR(INDEX(Dataset!P:P,MATCH(A260,Dataset!B:B,0)),"Not Found")</f>
        <v>Not Placed</v>
      </c>
    </row>
    <row r="261" spans="1:4" x14ac:dyDescent="0.3">
      <c r="A261" s="26" t="s">
        <v>517</v>
      </c>
      <c r="B261" s="27">
        <f>IFERROR(SUMIF(Dataset!B:B,A261,Dataset!Q:Q),0)</f>
        <v>75.09</v>
      </c>
      <c r="C261" s="22">
        <f>IFERROR(SUMIF(Dataset!B:B,A261,Dataset!K:K),0)</f>
        <v>3</v>
      </c>
      <c r="D261" s="28" t="str">
        <f>IFERROR(INDEX(Dataset!P:P,MATCH(A261,Dataset!B:B,0)),"Not Found")</f>
        <v>Placed</v>
      </c>
    </row>
    <row r="262" spans="1:4" x14ac:dyDescent="0.3">
      <c r="A262" s="26" t="s">
        <v>519</v>
      </c>
      <c r="B262" s="27">
        <f>IFERROR(SUMIF(Dataset!B:B,A262,Dataset!Q:Q),0)</f>
        <v>77.86</v>
      </c>
      <c r="C262" s="22">
        <f>IFERROR(SUMIF(Dataset!B:B,A262,Dataset!K:K),0)</f>
        <v>5</v>
      </c>
      <c r="D262" s="28" t="str">
        <f>IFERROR(INDEX(Dataset!P:P,MATCH(A262,Dataset!B:B,0)),"Not Found")</f>
        <v>Not Placed</v>
      </c>
    </row>
    <row r="263" spans="1:4" x14ac:dyDescent="0.3">
      <c r="A263" s="26" t="s">
        <v>521</v>
      </c>
      <c r="B263" s="27">
        <f>IFERROR(SUMIF(Dataset!B:B,A263,Dataset!Q:Q),0)</f>
        <v>75.08</v>
      </c>
      <c r="C263" s="22">
        <f>IFERROR(SUMIF(Dataset!B:B,A263,Dataset!K:K),0)</f>
        <v>2</v>
      </c>
      <c r="D263" s="28" t="str">
        <f>IFERROR(INDEX(Dataset!P:P,MATCH(A263,Dataset!B:B,0)),"Not Found")</f>
        <v>Placed</v>
      </c>
    </row>
    <row r="264" spans="1:4" x14ac:dyDescent="0.3">
      <c r="A264" s="26" t="s">
        <v>523</v>
      </c>
      <c r="B264" s="27">
        <f>IFERROR(SUMIF(Dataset!B:B,A264,Dataset!Q:Q),0)</f>
        <v>87.43</v>
      </c>
      <c r="C264" s="22">
        <f>IFERROR(SUMIF(Dataset!B:B,A264,Dataset!K:K),0)</f>
        <v>4</v>
      </c>
      <c r="D264" s="28" t="str">
        <f>IFERROR(INDEX(Dataset!P:P,MATCH(A264,Dataset!B:B,0)),"Not Found")</f>
        <v>Placed</v>
      </c>
    </row>
    <row r="265" spans="1:4" x14ac:dyDescent="0.3">
      <c r="A265" s="26" t="s">
        <v>525</v>
      </c>
      <c r="B265" s="27">
        <f>IFERROR(SUMIF(Dataset!B:B,A265,Dataset!Q:Q),0)</f>
        <v>82.2</v>
      </c>
      <c r="C265" s="22">
        <f>IFERROR(SUMIF(Dataset!B:B,A265,Dataset!K:K),0)</f>
        <v>1</v>
      </c>
      <c r="D265" s="28" t="str">
        <f>IFERROR(INDEX(Dataset!P:P,MATCH(A265,Dataset!B:B,0)),"Not Found")</f>
        <v>Not Placed</v>
      </c>
    </row>
    <row r="266" spans="1:4" x14ac:dyDescent="0.3">
      <c r="A266" s="26" t="s">
        <v>527</v>
      </c>
      <c r="B266" s="27">
        <f>IFERROR(SUMIF(Dataset!B:B,A266,Dataset!Q:Q),0)</f>
        <v>63.88</v>
      </c>
      <c r="C266" s="22">
        <f>IFERROR(SUMIF(Dataset!B:B,A266,Dataset!K:K),0)</f>
        <v>4</v>
      </c>
      <c r="D266" s="28" t="str">
        <f>IFERROR(INDEX(Dataset!P:P,MATCH(A266,Dataset!B:B,0)),"Not Found")</f>
        <v>Not Placed</v>
      </c>
    </row>
    <row r="267" spans="1:4" x14ac:dyDescent="0.3">
      <c r="A267" s="26" t="s">
        <v>529</v>
      </c>
      <c r="B267" s="27">
        <f>IFERROR(SUMIF(Dataset!B:B,A267,Dataset!Q:Q),0)</f>
        <v>58.02</v>
      </c>
      <c r="C267" s="22">
        <f>IFERROR(SUMIF(Dataset!B:B,A267,Dataset!K:K),0)</f>
        <v>5</v>
      </c>
      <c r="D267" s="28" t="str">
        <f>IFERROR(INDEX(Dataset!P:P,MATCH(A267,Dataset!B:B,0)),"Not Found")</f>
        <v>Not Placed</v>
      </c>
    </row>
    <row r="268" spans="1:4" x14ac:dyDescent="0.3">
      <c r="A268" s="26" t="s">
        <v>531</v>
      </c>
      <c r="B268" s="27">
        <f>IFERROR(SUMIF(Dataset!B:B,A268,Dataset!Q:Q),0)</f>
        <v>86.03</v>
      </c>
      <c r="C268" s="22">
        <f>IFERROR(SUMIF(Dataset!B:B,A268,Dataset!K:K),0)</f>
        <v>2</v>
      </c>
      <c r="D268" s="28" t="str">
        <f>IFERROR(INDEX(Dataset!P:P,MATCH(A268,Dataset!B:B,0)),"Not Found")</f>
        <v>Placed</v>
      </c>
    </row>
    <row r="269" spans="1:4" x14ac:dyDescent="0.3">
      <c r="A269" s="26" t="s">
        <v>533</v>
      </c>
      <c r="B269" s="27">
        <f>IFERROR(SUMIF(Dataset!B:B,A269,Dataset!Q:Q),0)</f>
        <v>81.760000000000005</v>
      </c>
      <c r="C269" s="22">
        <f>IFERROR(SUMIF(Dataset!B:B,A269,Dataset!K:K),0)</f>
        <v>5</v>
      </c>
      <c r="D269" s="28" t="str">
        <f>IFERROR(INDEX(Dataset!P:P,MATCH(A269,Dataset!B:B,0)),"Not Found")</f>
        <v>Not Placed</v>
      </c>
    </row>
  </sheetData>
  <mergeCells count="1">
    <mergeCell ref="A1:E1"/>
  </mergeCells>
  <conditionalFormatting sqref="B5:B14">
    <cfRule type="colorScale" priority="1">
      <colorScale>
        <cfvo type="min"/>
        <cfvo type="max"/>
        <color rgb="FFFCFCFF"/>
        <color rgb="FF63BE7B"/>
      </colorScale>
    </cfRule>
  </conditionalFormatting>
  <conditionalFormatting sqref="B20:B26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0:D269">
    <cfRule type="cellIs" dxfId="1" priority="3" operator="equal">
      <formula>"Placed"</formula>
    </cfRule>
    <cfRule type="cellIs" dxfId="0" priority="4" operator="equal">
      <formula>"Not Placed"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selection activeCell="A12" sqref="A12:F12"/>
    </sheetView>
  </sheetViews>
  <sheetFormatPr defaultRowHeight="14.4" x14ac:dyDescent="0.3"/>
  <cols>
    <col min="1" max="1" width="36" customWidth="1"/>
    <col min="2" max="2" width="18" customWidth="1"/>
    <col min="3" max="3" width="22" customWidth="1"/>
    <col min="4" max="4" width="20" customWidth="1"/>
    <col min="5" max="5" width="24" customWidth="1"/>
    <col min="6" max="6" width="18" customWidth="1"/>
  </cols>
  <sheetData>
    <row r="1" spans="1:6" ht="18" customHeight="1" x14ac:dyDescent="0.3">
      <c r="A1" s="64" t="s">
        <v>566</v>
      </c>
      <c r="B1" s="62"/>
      <c r="C1" s="62"/>
      <c r="D1" s="62"/>
      <c r="E1" s="62"/>
      <c r="F1" s="62"/>
    </row>
    <row r="3" spans="1:6" x14ac:dyDescent="0.3">
      <c r="A3" s="29" t="s">
        <v>567</v>
      </c>
      <c r="B3" s="30" t="s">
        <v>535</v>
      </c>
      <c r="C3" s="30" t="s">
        <v>568</v>
      </c>
      <c r="D3" s="30" t="s">
        <v>569</v>
      </c>
      <c r="E3" s="30" t="s">
        <v>550</v>
      </c>
      <c r="F3" s="30" t="s">
        <v>540</v>
      </c>
    </row>
    <row r="4" spans="1:6" x14ac:dyDescent="0.3">
      <c r="A4" s="31" t="s">
        <v>40</v>
      </c>
      <c r="B4" s="12">
        <f>IFERROR(COUNTIF(Dataset!C:C,A4),0)</f>
        <v>48</v>
      </c>
      <c r="C4" s="21">
        <f>IFERROR(AVERAGEIF(Dataset!C:C,A4,Dataset!Q:Q),0)</f>
        <v>77.14104166666668</v>
      </c>
      <c r="D4" s="32">
        <f>IFERROR(AVERAGEIF(Dataset!C:C,A4,Dataset!F:F),0)</f>
        <v>83.057446808510647</v>
      </c>
      <c r="E4" s="12">
        <f>IFERROR(SUMIF(Dataset!C:C,A4,Dataset!L:L),0)</f>
        <v>110</v>
      </c>
      <c r="F4" s="33">
        <f>IFERROR(SUMIF(Dataset!C:C,A4,Dataset!S:S)/B4,0)</f>
        <v>0.66666666666666663</v>
      </c>
    </row>
    <row r="5" spans="1:6" x14ac:dyDescent="0.3">
      <c r="A5" s="31" t="s">
        <v>43</v>
      </c>
      <c r="B5" s="12">
        <f>IFERROR(COUNTIF(Dataset!C:C,A5),0)</f>
        <v>76</v>
      </c>
      <c r="C5" s="21">
        <f>IFERROR(AVERAGEIF(Dataset!C:C,A5,Dataset!Q:Q),0)</f>
        <v>74.696052631578951</v>
      </c>
      <c r="D5" s="32">
        <f>IFERROR(AVERAGEIF(Dataset!C:C,A5,Dataset!F:F),0)</f>
        <v>80.417333333333318</v>
      </c>
      <c r="E5" s="12">
        <f>IFERROR(SUMIF(Dataset!C:C,A5,Dataset!L:L),0)</f>
        <v>176</v>
      </c>
      <c r="F5" s="33">
        <f>IFERROR(SUMIF(Dataset!C:C,A5,Dataset!S:S)/B5,0)</f>
        <v>0.59210526315789469</v>
      </c>
    </row>
    <row r="6" spans="1:6" x14ac:dyDescent="0.3">
      <c r="A6" s="31" t="s">
        <v>35</v>
      </c>
      <c r="B6" s="12">
        <f>IFERROR(COUNTIF(Dataset!C:C,A6),0)</f>
        <v>37</v>
      </c>
      <c r="C6" s="21">
        <f>IFERROR(AVERAGEIF(Dataset!C:C,A6,Dataset!Q:Q),0)</f>
        <v>75.266756756756791</v>
      </c>
      <c r="D6" s="32">
        <f>IFERROR(AVERAGEIF(Dataset!C:C,A6,Dataset!F:F),0)</f>
        <v>79.980555555555583</v>
      </c>
      <c r="E6" s="12">
        <f>IFERROR(SUMIF(Dataset!C:C,A6,Dataset!L:L),0)</f>
        <v>58</v>
      </c>
      <c r="F6" s="33">
        <f>IFERROR(SUMIF(Dataset!C:C,A6,Dataset!S:S)/B6,0)</f>
        <v>0.59459459459459463</v>
      </c>
    </row>
    <row r="7" spans="1:6" x14ac:dyDescent="0.3">
      <c r="A7" s="31" t="s">
        <v>31</v>
      </c>
      <c r="B7" s="12">
        <f>IFERROR(COUNTIF(Dataset!C:C,A7),0)</f>
        <v>41</v>
      </c>
      <c r="C7" s="21">
        <f>IFERROR(AVERAGEIF(Dataset!C:C,A7,Dataset!Q:Q),0)</f>
        <v>75.439756097560974</v>
      </c>
      <c r="D7" s="32">
        <f>IFERROR(AVERAGEIF(Dataset!C:C,A7,Dataset!F:F),0)</f>
        <v>80.327499999999986</v>
      </c>
      <c r="E7" s="12">
        <f>IFERROR(SUMIF(Dataset!C:C,A7,Dataset!L:L),0)</f>
        <v>79</v>
      </c>
      <c r="F7" s="33">
        <f>IFERROR(SUMIF(Dataset!C:C,A7,Dataset!S:S)/B7,0)</f>
        <v>0.46341463414634149</v>
      </c>
    </row>
    <row r="8" spans="1:6" x14ac:dyDescent="0.3">
      <c r="A8" s="31" t="s">
        <v>25</v>
      </c>
      <c r="B8" s="12">
        <f>IFERROR(COUNTIF(Dataset!C:C,A8),0)</f>
        <v>48</v>
      </c>
      <c r="C8" s="21">
        <f>IFERROR(AVERAGEIF(Dataset!C:C,A8,Dataset!Q:Q),0)</f>
        <v>73.962708333333353</v>
      </c>
      <c r="D8" s="32">
        <f>IFERROR(AVERAGEIF(Dataset!C:C,A8,Dataset!F:F),0)</f>
        <v>82.574468085106361</v>
      </c>
      <c r="E8" s="12">
        <f>IFERROR(SUMIF(Dataset!C:C,A8,Dataset!L:L),0)</f>
        <v>103</v>
      </c>
      <c r="F8" s="33">
        <f>IFERROR(SUMIF(Dataset!C:C,A8,Dataset!S:S)/B8,0)</f>
        <v>0.45833333333333331</v>
      </c>
    </row>
    <row r="9" spans="1:6" x14ac:dyDescent="0.3">
      <c r="A9" s="34" t="s">
        <v>570</v>
      </c>
      <c r="B9" s="35">
        <f>SUM(B4:B8)</f>
        <v>250</v>
      </c>
      <c r="C9" s="36">
        <f>AVERAGE(Dataset!Q2:Q251)</f>
        <v>75.231120000000004</v>
      </c>
      <c r="D9" s="37">
        <f>AVERAGE(Dataset!F2:F251)</f>
        <v>81.258775510204117</v>
      </c>
      <c r="E9" s="35">
        <f>SUM(E4:E8)</f>
        <v>526</v>
      </c>
      <c r="F9" s="38">
        <f>IFERROR(SUM(Dataset!S2:S251)/B9,0)</f>
        <v>0.56000000000000005</v>
      </c>
    </row>
    <row r="12" spans="1:6" x14ac:dyDescent="0.3">
      <c r="A12" s="65" t="s">
        <v>613</v>
      </c>
      <c r="B12" s="66"/>
      <c r="C12" s="66"/>
      <c r="D12" s="66"/>
      <c r="E12" s="66"/>
      <c r="F12" s="66"/>
    </row>
    <row r="13" spans="1:6" x14ac:dyDescent="0.3">
      <c r="A13" s="39" t="s">
        <v>571</v>
      </c>
      <c r="B13" s="39" t="s">
        <v>572</v>
      </c>
      <c r="C13" s="39" t="s">
        <v>573</v>
      </c>
      <c r="E13" s="39" t="s">
        <v>574</v>
      </c>
      <c r="F13" s="39" t="s">
        <v>575</v>
      </c>
    </row>
    <row r="14" spans="1:6" x14ac:dyDescent="0.3">
      <c r="A14" s="40" t="s">
        <v>576</v>
      </c>
      <c r="B14" s="41">
        <f>IFERROR(CORREL(Dataset!F2:F251,Dataset!J2:J251),0)</f>
        <v>0.27170945697279358</v>
      </c>
      <c r="C14" s="12" t="str">
        <f t="shared" ref="C14:C21" si="0">IF(ABS(B14)&lt;$F$17,"Negligible",IF(ABS(B14)&gt;=$F$15,"Strong",IF(ABS(B14)&gt;=$F$16,"Moderate","Weak"))&amp;IF(B14&lt;0," negative"," positive"))</f>
        <v>Weak positive</v>
      </c>
    </row>
    <row r="15" spans="1:6" x14ac:dyDescent="0.3">
      <c r="A15" s="40" t="s">
        <v>577</v>
      </c>
      <c r="B15" s="41">
        <f>IFERROR(CORREL(Dataset!G2:G251,Dataset!Q2:Q251),0)</f>
        <v>0.21336574146096682</v>
      </c>
      <c r="C15" s="12" t="str">
        <f t="shared" si="0"/>
        <v>Weak positive</v>
      </c>
      <c r="E15" s="12" t="s">
        <v>578</v>
      </c>
      <c r="F15" s="11">
        <v>0.7</v>
      </c>
    </row>
    <row r="16" spans="1:6" x14ac:dyDescent="0.3">
      <c r="A16" s="40" t="s">
        <v>579</v>
      </c>
      <c r="B16" s="41">
        <f>IFERROR(CORREL(Dataset!F2:F251,Dataset!Q2:Q251),0)</f>
        <v>0.1942485063379156</v>
      </c>
      <c r="C16" s="12" t="str">
        <f t="shared" si="0"/>
        <v>Negligible</v>
      </c>
      <c r="E16" s="12" t="s">
        <v>580</v>
      </c>
      <c r="F16" s="11">
        <v>0.4</v>
      </c>
    </row>
    <row r="17" spans="1:6" x14ac:dyDescent="0.3">
      <c r="A17" s="40" t="s">
        <v>581</v>
      </c>
      <c r="B17" s="41">
        <f>IFERROR(CORREL(Dataset!J2:J251,Dataset!Q2:Q251),0)</f>
        <v>0.91378580082055816</v>
      </c>
      <c r="C17" s="12" t="str">
        <f t="shared" si="0"/>
        <v>Strong positive</v>
      </c>
      <c r="E17" s="12" t="s">
        <v>582</v>
      </c>
      <c r="F17" s="11">
        <v>0.2</v>
      </c>
    </row>
    <row r="18" spans="1:6" x14ac:dyDescent="0.3">
      <c r="A18" s="40" t="s">
        <v>583</v>
      </c>
      <c r="B18" s="41">
        <f>IFERROR(CORREL(Dataset!Q2:Q251,Dataset!S2:S251),0)</f>
        <v>0.20880783413885184</v>
      </c>
      <c r="C18" s="12" t="str">
        <f t="shared" si="0"/>
        <v>Weak positive</v>
      </c>
    </row>
    <row r="19" spans="1:6" x14ac:dyDescent="0.3">
      <c r="A19" s="40" t="s">
        <v>584</v>
      </c>
      <c r="B19" s="41">
        <f>IFERROR(CORREL(Dataset!M2:M251,Dataset!S2:S251),0)</f>
        <v>-0.21076640078859157</v>
      </c>
      <c r="C19" s="12" t="str">
        <f t="shared" si="0"/>
        <v>Weak negative</v>
      </c>
    </row>
    <row r="20" spans="1:6" x14ac:dyDescent="0.3">
      <c r="A20" s="40" t="s">
        <v>585</v>
      </c>
      <c r="B20" s="41">
        <f>IFERROR(CORREL(Dataset!K2:K251,Dataset!S2:S251),0)</f>
        <v>0.12074098905377138</v>
      </c>
      <c r="C20" s="12" t="str">
        <f t="shared" si="0"/>
        <v>Negligible</v>
      </c>
    </row>
    <row r="21" spans="1:6" x14ac:dyDescent="0.3">
      <c r="A21" s="40" t="s">
        <v>586</v>
      </c>
      <c r="B21" s="41">
        <f>IFERROR(CORREL(Dataset!L2:L251,Dataset!S2:S251),0)</f>
        <v>-3.7785715523817189E-2</v>
      </c>
      <c r="C21" s="12" t="str">
        <f t="shared" si="0"/>
        <v>Negligible</v>
      </c>
    </row>
  </sheetData>
  <mergeCells count="2">
    <mergeCell ref="A1:F1"/>
    <mergeCell ref="A12:F12"/>
  </mergeCells>
  <conditionalFormatting sqref="B14:B21">
    <cfRule type="colorScale" priority="5">
      <colorScale>
        <cfvo type="num" val="-1"/>
        <cfvo type="num" val="0"/>
        <cfvo type="num" val="1"/>
        <color rgb="FFF8696B"/>
        <color rgb="FFFCFCFF"/>
        <color rgb="FF63BE7B"/>
      </colorScale>
    </cfRule>
  </conditionalFormatting>
  <conditionalFormatting sqref="C4:C8">
    <cfRule type="colorScale" priority="1">
      <colorScale>
        <cfvo type="min"/>
        <cfvo type="max"/>
        <color rgb="FFFCFCFF"/>
        <color rgb="FF63BE7B"/>
      </colorScale>
    </cfRule>
  </conditionalFormatting>
  <conditionalFormatting sqref="D4:D8">
    <cfRule type="colorScale" priority="2">
      <colorScale>
        <cfvo type="min"/>
        <cfvo type="max"/>
        <color rgb="FFFCFCFF"/>
        <color rgb="FF63BE7B"/>
      </colorScale>
    </cfRule>
  </conditionalFormatting>
  <conditionalFormatting sqref="E4:E8">
    <cfRule type="colorScale" priority="3">
      <colorScale>
        <cfvo type="min"/>
        <cfvo type="max"/>
        <color rgb="FFFCFCFF"/>
        <color rgb="FF5A8AC6"/>
      </colorScale>
    </cfRule>
  </conditionalFormatting>
  <conditionalFormatting sqref="F4:F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49"/>
  <sheetViews>
    <sheetView zoomScale="58" zoomScaleNormal="138" workbookViewId="0">
      <selection activeCell="T2" sqref="T2:X2"/>
    </sheetView>
  </sheetViews>
  <sheetFormatPr defaultRowHeight="14.4" x14ac:dyDescent="0.3"/>
  <cols>
    <col min="1" max="1" width="26" customWidth="1"/>
    <col min="2" max="5" width="20" customWidth="1"/>
    <col min="6" max="6" width="6" customWidth="1"/>
    <col min="20" max="21" width="18" customWidth="1"/>
    <col min="23" max="24" width="18" customWidth="1"/>
  </cols>
  <sheetData>
    <row r="1" spans="1:24" ht="31.2" customHeight="1" x14ac:dyDescent="0.3">
      <c r="A1" s="67" t="s">
        <v>587</v>
      </c>
      <c r="B1" s="68"/>
      <c r="C1" s="68"/>
      <c r="D1" s="68"/>
      <c r="E1" s="68"/>
      <c r="F1" s="68"/>
    </row>
    <row r="3" spans="1:24" x14ac:dyDescent="0.3">
      <c r="A3" s="17" t="s">
        <v>588</v>
      </c>
      <c r="B3" s="19"/>
      <c r="C3" s="19"/>
      <c r="D3" s="19"/>
      <c r="E3" s="19"/>
      <c r="F3" s="19"/>
      <c r="T3" s="17" t="s">
        <v>589</v>
      </c>
      <c r="U3" s="19"/>
      <c r="W3" s="17" t="s">
        <v>590</v>
      </c>
      <c r="X3" s="19"/>
    </row>
    <row r="4" spans="1:24" ht="30" customHeight="1" x14ac:dyDescent="0.3">
      <c r="A4" s="42" t="s">
        <v>591</v>
      </c>
      <c r="B4" s="42" t="s">
        <v>592</v>
      </c>
      <c r="C4" s="42" t="s">
        <v>593</v>
      </c>
      <c r="T4" s="43" t="s">
        <v>5</v>
      </c>
      <c r="U4" s="43" t="s">
        <v>9</v>
      </c>
      <c r="W4" s="43" t="s">
        <v>6</v>
      </c>
      <c r="X4" s="43" t="s">
        <v>16</v>
      </c>
    </row>
    <row r="5" spans="1:24" x14ac:dyDescent="0.3">
      <c r="A5" s="40" t="s">
        <v>40</v>
      </c>
      <c r="B5" s="44">
        <f>IFERROR(AVERAGEIF(Dataset!$C:$C,$A5,Dataset!$Q:$Q),0)</f>
        <v>77.14104166666668</v>
      </c>
      <c r="C5" s="45">
        <f>COUNTIF(Dataset!$C:$C,$A5)</f>
        <v>48</v>
      </c>
      <c r="T5" s="3">
        <f>Dataset!F2</f>
        <v>76.400000000000006</v>
      </c>
      <c r="U5" s="3">
        <f>Dataset!J2</f>
        <v>74.900000000000006</v>
      </c>
      <c r="W5" s="3">
        <f>Dataset!G2</f>
        <v>1.9</v>
      </c>
      <c r="X5" s="3">
        <f>Dataset!Q2</f>
        <v>80.37</v>
      </c>
    </row>
    <row r="6" spans="1:24" x14ac:dyDescent="0.3">
      <c r="A6" s="40" t="s">
        <v>43</v>
      </c>
      <c r="B6" s="44">
        <f>IFERROR(AVERAGEIF(Dataset!$C:$C,$A6,Dataset!$Q:$Q),0)</f>
        <v>74.696052631578951</v>
      </c>
      <c r="C6" s="45">
        <f>COUNTIF(Dataset!$C:$C,$A6)</f>
        <v>76</v>
      </c>
      <c r="T6" s="3">
        <f>Dataset!F3</f>
        <v>62.3</v>
      </c>
      <c r="U6" s="3">
        <f>Dataset!J3</f>
        <v>66.099999999999994</v>
      </c>
      <c r="W6" s="3">
        <f>Dataset!G3</f>
        <v>5.8</v>
      </c>
      <c r="X6" s="3">
        <f>Dataset!Q3</f>
        <v>68.569999999999993</v>
      </c>
    </row>
    <row r="7" spans="1:24" x14ac:dyDescent="0.3">
      <c r="A7" s="40" t="s">
        <v>35</v>
      </c>
      <c r="B7" s="44">
        <f>IFERROR(AVERAGEIF(Dataset!$C:$C,$A7,Dataset!$Q:$Q),0)</f>
        <v>75.266756756756791</v>
      </c>
      <c r="C7" s="45">
        <f>COUNTIF(Dataset!$C:$C,$A7)</f>
        <v>37</v>
      </c>
      <c r="T7" s="3">
        <f>Dataset!F4</f>
        <v>89.7</v>
      </c>
      <c r="U7" s="3">
        <f>Dataset!J4</f>
        <v>94</v>
      </c>
      <c r="W7" s="3">
        <f>Dataset!G4</f>
        <v>8.4</v>
      </c>
      <c r="X7" s="3">
        <f>Dataset!Q4</f>
        <v>88.2</v>
      </c>
    </row>
    <row r="8" spans="1:24" x14ac:dyDescent="0.3">
      <c r="A8" s="40" t="s">
        <v>31</v>
      </c>
      <c r="B8" s="44">
        <f>IFERROR(AVERAGEIF(Dataset!$C:$C,$A8,Dataset!$Q:$Q),0)</f>
        <v>75.439756097560974</v>
      </c>
      <c r="C8" s="45">
        <f>COUNTIF(Dataset!$C:$C,$A8)</f>
        <v>41</v>
      </c>
      <c r="T8" s="3">
        <f>Dataset!F5</f>
        <v>73.099999999999994</v>
      </c>
      <c r="U8" s="3">
        <f>Dataset!J5</f>
        <v>80</v>
      </c>
      <c r="W8" s="3">
        <f>Dataset!G5</f>
        <v>6.1</v>
      </c>
      <c r="X8" s="3">
        <f>Dataset!Q5</f>
        <v>70.72</v>
      </c>
    </row>
    <row r="9" spans="1:24" x14ac:dyDescent="0.3">
      <c r="A9" s="40" t="s">
        <v>25</v>
      </c>
      <c r="B9" s="44">
        <f>IFERROR(AVERAGEIF(Dataset!$C:$C,$A9,Dataset!$Q:$Q),0)</f>
        <v>73.962708333333353</v>
      </c>
      <c r="C9" s="45">
        <f>COUNTIF(Dataset!$C:$C,$A9)</f>
        <v>48</v>
      </c>
      <c r="T9" s="3">
        <f>Dataset!F7</f>
        <v>90.7</v>
      </c>
      <c r="U9" s="3">
        <f>Dataset!J7</f>
        <v>62.7</v>
      </c>
      <c r="W9" s="3">
        <f>Dataset!G6</f>
        <v>4</v>
      </c>
      <c r="X9" s="3">
        <f>Dataset!Q6</f>
        <v>60.68</v>
      </c>
    </row>
    <row r="10" spans="1:24" x14ac:dyDescent="0.3">
      <c r="A10" s="46" t="s">
        <v>594</v>
      </c>
      <c r="B10" s="47">
        <f>AVERAGE(Dataset!$Q$2:$Q$251)</f>
        <v>75.231120000000004</v>
      </c>
      <c r="C10" s="48">
        <f>SUM(C5:C9)</f>
        <v>250</v>
      </c>
      <c r="T10" s="3">
        <f>Dataset!F8</f>
        <v>73.2</v>
      </c>
      <c r="U10" s="3">
        <f>Dataset!J8</f>
        <v>84.4</v>
      </c>
      <c r="W10" s="3">
        <f>Dataset!G7</f>
        <v>5.7</v>
      </c>
      <c r="X10" s="3">
        <f>Dataset!Q7</f>
        <v>61.35</v>
      </c>
    </row>
    <row r="11" spans="1:24" x14ac:dyDescent="0.3">
      <c r="T11" s="3">
        <f>Dataset!F9</f>
        <v>82.7</v>
      </c>
      <c r="U11" s="3">
        <f>Dataset!J9</f>
        <v>82.5</v>
      </c>
      <c r="W11" s="3">
        <f>Dataset!G8</f>
        <v>7.7</v>
      </c>
      <c r="X11" s="3">
        <f>Dataset!Q8</f>
        <v>83.05</v>
      </c>
    </row>
    <row r="12" spans="1:24" x14ac:dyDescent="0.3">
      <c r="A12" s="17" t="s">
        <v>595</v>
      </c>
      <c r="B12" s="19"/>
      <c r="C12" s="19"/>
      <c r="D12" s="19"/>
      <c r="E12" s="19"/>
      <c r="F12" s="19"/>
      <c r="T12" s="3">
        <f>Dataset!F10</f>
        <v>95.7</v>
      </c>
      <c r="U12" s="3">
        <f>Dataset!J10</f>
        <v>71.900000000000006</v>
      </c>
      <c r="W12" s="3">
        <f>Dataset!G9</f>
        <v>7.6</v>
      </c>
      <c r="X12" s="3">
        <f>Dataset!Q9</f>
        <v>81.22</v>
      </c>
    </row>
    <row r="13" spans="1:24" ht="30" customHeight="1" x14ac:dyDescent="0.3">
      <c r="A13" s="42" t="s">
        <v>591</v>
      </c>
      <c r="B13" s="42" t="s">
        <v>28</v>
      </c>
      <c r="C13" s="42" t="s">
        <v>32</v>
      </c>
      <c r="D13" s="42" t="s">
        <v>596</v>
      </c>
      <c r="E13" s="42" t="s">
        <v>597</v>
      </c>
      <c r="T13" s="3">
        <f>Dataset!F11</f>
        <v>59.9</v>
      </c>
      <c r="U13" s="3">
        <f>Dataset!J11</f>
        <v>55.4</v>
      </c>
      <c r="W13" s="3">
        <f>Dataset!G10</f>
        <v>3</v>
      </c>
      <c r="X13" s="3">
        <f>Dataset!Q10</f>
        <v>73.33</v>
      </c>
    </row>
    <row r="14" spans="1:24" x14ac:dyDescent="0.3">
      <c r="A14" s="40" t="s">
        <v>40</v>
      </c>
      <c r="B14" s="45">
        <f>COUNTIFS(Dataset!$C:$C,$A14,Dataset!$P:$P,"Placed")</f>
        <v>32</v>
      </c>
      <c r="C14" s="45">
        <f>COUNTIFS(Dataset!$C:$C,$A14,Dataset!$P:$P,"Not Placed")</f>
        <v>16</v>
      </c>
      <c r="D14" s="45">
        <f>B14+C14</f>
        <v>48</v>
      </c>
      <c r="E14" s="49">
        <f t="shared" ref="E14:E19" si="0">IFERROR(B14/D14,0)</f>
        <v>0.66666666666666663</v>
      </c>
      <c r="T14" s="3">
        <f>Dataset!F12</f>
        <v>74.7</v>
      </c>
      <c r="U14" s="3">
        <f>Dataset!J12</f>
        <v>75.2</v>
      </c>
      <c r="W14" s="3">
        <f>Dataset!G11</f>
        <v>5.7</v>
      </c>
      <c r="X14" s="3">
        <f>Dataset!Q11</f>
        <v>61.21</v>
      </c>
    </row>
    <row r="15" spans="1:24" x14ac:dyDescent="0.3">
      <c r="A15" s="40" t="s">
        <v>43</v>
      </c>
      <c r="B15" s="45">
        <f>COUNTIFS(Dataset!$C:$C,$A15,Dataset!$P:$P,"Placed")</f>
        <v>45</v>
      </c>
      <c r="C15" s="45">
        <f>COUNTIFS(Dataset!$C:$C,$A15,Dataset!$P:$P,"Not Placed")</f>
        <v>31</v>
      </c>
      <c r="D15" s="45">
        <f>B15+C15</f>
        <v>76</v>
      </c>
      <c r="E15" s="49">
        <f t="shared" si="0"/>
        <v>0.59210526315789469</v>
      </c>
      <c r="T15" s="3">
        <f>Dataset!F13</f>
        <v>73.900000000000006</v>
      </c>
      <c r="U15" s="3">
        <f>Dataset!J13</f>
        <v>84.6</v>
      </c>
      <c r="W15" s="3">
        <f>Dataset!G12</f>
        <v>4.5</v>
      </c>
      <c r="X15" s="3">
        <f>Dataset!Q12</f>
        <v>72.39</v>
      </c>
    </row>
    <row r="16" spans="1:24" x14ac:dyDescent="0.3">
      <c r="A16" s="40" t="s">
        <v>35</v>
      </c>
      <c r="B16" s="45">
        <f>COUNTIFS(Dataset!$C:$C,$A16,Dataset!$P:$P,"Placed")</f>
        <v>22</v>
      </c>
      <c r="C16" s="45">
        <f>COUNTIFS(Dataset!$C:$C,$A16,Dataset!$P:$P,"Not Placed")</f>
        <v>15</v>
      </c>
      <c r="D16" s="45">
        <f>B16+C16</f>
        <v>37</v>
      </c>
      <c r="E16" s="49">
        <f t="shared" si="0"/>
        <v>0.59459459459459463</v>
      </c>
      <c r="T16" s="3">
        <f>Dataset!F14</f>
        <v>80.3</v>
      </c>
      <c r="U16" s="3">
        <f>Dataset!J14</f>
        <v>61.3</v>
      </c>
      <c r="W16" s="3">
        <f>Dataset!G13</f>
        <v>6.3</v>
      </c>
      <c r="X16" s="3">
        <f>Dataset!Q13</f>
        <v>81.41</v>
      </c>
    </row>
    <row r="17" spans="1:24" x14ac:dyDescent="0.3">
      <c r="A17" s="40" t="s">
        <v>31</v>
      </c>
      <c r="B17" s="45">
        <f>COUNTIFS(Dataset!$C:$C,$A17,Dataset!$P:$P,"Placed")</f>
        <v>19</v>
      </c>
      <c r="C17" s="45">
        <f>COUNTIFS(Dataset!$C:$C,$A17,Dataset!$P:$P,"Not Placed")</f>
        <v>22</v>
      </c>
      <c r="D17" s="45">
        <f>B17+C17</f>
        <v>41</v>
      </c>
      <c r="E17" s="49">
        <f t="shared" si="0"/>
        <v>0.46341463414634149</v>
      </c>
      <c r="T17" s="3">
        <f>Dataset!F15</f>
        <v>81.599999999999994</v>
      </c>
      <c r="U17" s="3">
        <f>Dataset!J15</f>
        <v>81.2</v>
      </c>
      <c r="W17" s="3">
        <f>Dataset!G14</f>
        <v>5.5</v>
      </c>
      <c r="X17" s="3">
        <f>Dataset!Q14</f>
        <v>64.19</v>
      </c>
    </row>
    <row r="18" spans="1:24" x14ac:dyDescent="0.3">
      <c r="A18" s="40" t="s">
        <v>25</v>
      </c>
      <c r="B18" s="45">
        <f>COUNTIFS(Dataset!$C:$C,$A18,Dataset!$P:$P,"Placed")</f>
        <v>22</v>
      </c>
      <c r="C18" s="45">
        <f>COUNTIFS(Dataset!$C:$C,$A18,Dataset!$P:$P,"Not Placed")</f>
        <v>26</v>
      </c>
      <c r="D18" s="45">
        <f>B18+C18</f>
        <v>48</v>
      </c>
      <c r="E18" s="49">
        <f t="shared" si="0"/>
        <v>0.45833333333333331</v>
      </c>
      <c r="T18" s="3">
        <f>Dataset!F16</f>
        <v>72.400000000000006</v>
      </c>
      <c r="U18" s="3">
        <f>Dataset!J16</f>
        <v>79.5</v>
      </c>
      <c r="W18" s="3">
        <f>Dataset!G15</f>
        <v>1</v>
      </c>
      <c r="X18" s="3">
        <f>Dataset!Q15</f>
        <v>79.040000000000006</v>
      </c>
    </row>
    <row r="19" spans="1:24" x14ac:dyDescent="0.3">
      <c r="A19" s="46" t="s">
        <v>594</v>
      </c>
      <c r="B19" s="48">
        <f>SUM(B14:B18)</f>
        <v>140</v>
      </c>
      <c r="C19" s="48">
        <f>SUM(C14:C18)</f>
        <v>110</v>
      </c>
      <c r="D19" s="48">
        <f>SUM(D14:D18)</f>
        <v>250</v>
      </c>
      <c r="E19" s="50">
        <f t="shared" si="0"/>
        <v>0.56000000000000005</v>
      </c>
      <c r="T19" s="3">
        <f>Dataset!F17</f>
        <v>76.099999999999994</v>
      </c>
      <c r="U19" s="3">
        <f>Dataset!J17</f>
        <v>70.599999999999994</v>
      </c>
      <c r="W19" s="3">
        <f>Dataset!G16</f>
        <v>4.2</v>
      </c>
      <c r="X19" s="3">
        <f>Dataset!Q16</f>
        <v>71.81</v>
      </c>
    </row>
    <row r="20" spans="1:24" x14ac:dyDescent="0.3">
      <c r="T20" s="3">
        <f>Dataset!F18</f>
        <v>75</v>
      </c>
      <c r="U20" s="3">
        <f>Dataset!J18</f>
        <v>73.3</v>
      </c>
      <c r="W20" s="3">
        <f>Dataset!G17</f>
        <v>5.2</v>
      </c>
      <c r="X20" s="3">
        <f>Dataset!Q17</f>
        <v>71.36</v>
      </c>
    </row>
    <row r="21" spans="1:24" x14ac:dyDescent="0.3">
      <c r="A21" s="17" t="s">
        <v>598</v>
      </c>
      <c r="B21" s="19"/>
      <c r="C21" s="19"/>
      <c r="D21" s="19"/>
      <c r="E21" s="19"/>
      <c r="F21" s="19"/>
      <c r="T21" s="3">
        <f>Dataset!F19</f>
        <v>78.8</v>
      </c>
      <c r="U21" s="3">
        <f>Dataset!J19</f>
        <v>74.7</v>
      </c>
      <c r="W21" s="3">
        <f>Dataset!G18</f>
        <v>2.2000000000000002</v>
      </c>
      <c r="X21" s="3">
        <f>Dataset!Q18</f>
        <v>69.569999999999993</v>
      </c>
    </row>
    <row r="22" spans="1:24" ht="30" customHeight="1" x14ac:dyDescent="0.3">
      <c r="A22" s="42" t="s">
        <v>13</v>
      </c>
      <c r="B22" s="42" t="s">
        <v>28</v>
      </c>
      <c r="C22" s="42" t="s">
        <v>32</v>
      </c>
      <c r="D22" s="42" t="s">
        <v>596</v>
      </c>
      <c r="E22" s="42" t="s">
        <v>597</v>
      </c>
      <c r="T22" s="3">
        <f>Dataset!F20</f>
        <v>84</v>
      </c>
      <c r="U22" s="3">
        <f>Dataset!J20</f>
        <v>69.2</v>
      </c>
      <c r="W22" s="3">
        <f>Dataset!G19</f>
        <v>5.8</v>
      </c>
      <c r="X22" s="3">
        <f>Dataset!Q19</f>
        <v>74.08</v>
      </c>
    </row>
    <row r="23" spans="1:24" x14ac:dyDescent="0.3">
      <c r="A23" s="40" t="s">
        <v>27</v>
      </c>
      <c r="B23" s="45">
        <f>COUNTIFS(Dataset!$N:$N,$A23,Dataset!$P:$P,"Placed")</f>
        <v>76</v>
      </c>
      <c r="C23" s="45">
        <f>COUNTIFS(Dataset!$N:$N,$A23,Dataset!$P:$P,"Not Placed")</f>
        <v>70</v>
      </c>
      <c r="D23" s="45">
        <f>B23+C23</f>
        <v>146</v>
      </c>
      <c r="E23" s="49">
        <f>IFERROR(B23/D23,0)</f>
        <v>0.52054794520547942</v>
      </c>
      <c r="T23" s="3">
        <f>Dataset!F21</f>
        <v>90.2</v>
      </c>
      <c r="U23" s="3">
        <f>Dataset!J21</f>
        <v>72.400000000000006</v>
      </c>
      <c r="W23" s="3">
        <f>Dataset!G20</f>
        <v>2.1</v>
      </c>
      <c r="X23" s="3">
        <f>Dataset!Q20</f>
        <v>68.33</v>
      </c>
    </row>
    <row r="24" spans="1:24" x14ac:dyDescent="0.3">
      <c r="A24" s="40" t="s">
        <v>37</v>
      </c>
      <c r="B24" s="45">
        <f>COUNTIFS(Dataset!$N:$N,$A24,Dataset!$P:$P,"Placed")</f>
        <v>64</v>
      </c>
      <c r="C24" s="45">
        <f>COUNTIFS(Dataset!$N:$N,$A24,Dataset!$P:$P,"Not Placed")</f>
        <v>40</v>
      </c>
      <c r="D24" s="45">
        <f>B24+C24</f>
        <v>104</v>
      </c>
      <c r="E24" s="49">
        <f>IFERROR(B24/D24,0)</f>
        <v>0.61538461538461542</v>
      </c>
      <c r="T24" s="3">
        <f>Dataset!F22</f>
        <v>91.5</v>
      </c>
      <c r="U24" s="3">
        <f>Dataset!J22</f>
        <v>100</v>
      </c>
      <c r="W24" s="3">
        <f>Dataset!G21</f>
        <v>3.4</v>
      </c>
      <c r="X24" s="3">
        <f>Dataset!Q21</f>
        <v>74.040000000000006</v>
      </c>
    </row>
    <row r="25" spans="1:24" x14ac:dyDescent="0.3">
      <c r="A25" s="46" t="s">
        <v>594</v>
      </c>
      <c r="B25" s="48">
        <f>SUM(B23:B24)</f>
        <v>140</v>
      </c>
      <c r="C25" s="48">
        <f>SUM(C23:C24)</f>
        <v>110</v>
      </c>
      <c r="D25" s="48">
        <f>SUM(D23:D24)</f>
        <v>250</v>
      </c>
      <c r="E25" s="50">
        <f>IFERROR(B25/D25,0)</f>
        <v>0.56000000000000005</v>
      </c>
      <c r="T25" s="3">
        <f>Dataset!F23</f>
        <v>87.9</v>
      </c>
      <c r="U25" s="3">
        <f>Dataset!J23</f>
        <v>70.5</v>
      </c>
      <c r="W25" s="3">
        <f>Dataset!G22</f>
        <v>7.2</v>
      </c>
      <c r="X25" s="3">
        <f>Dataset!Q22</f>
        <v>91.62</v>
      </c>
    </row>
    <row r="26" spans="1:24" x14ac:dyDescent="0.3">
      <c r="T26" s="3">
        <f>Dataset!F24</f>
        <v>74.099999999999994</v>
      </c>
      <c r="U26" s="3">
        <f>Dataset!J24</f>
        <v>84.9</v>
      </c>
      <c r="W26" s="3">
        <f>Dataset!G23</f>
        <v>3.2</v>
      </c>
      <c r="X26" s="3">
        <f>Dataset!Q23</f>
        <v>69.739999999999995</v>
      </c>
    </row>
    <row r="27" spans="1:24" x14ac:dyDescent="0.3">
      <c r="A27" s="17" t="s">
        <v>599</v>
      </c>
      <c r="B27" s="19"/>
      <c r="C27" s="19"/>
      <c r="D27" s="19"/>
      <c r="E27" s="19"/>
      <c r="F27" s="19"/>
      <c r="T27" s="3">
        <f>Dataset!F25</f>
        <v>82</v>
      </c>
      <c r="U27" s="3">
        <f>Dataset!J25</f>
        <v>80.8</v>
      </c>
      <c r="W27" s="3">
        <f>Dataset!G24</f>
        <v>5.8</v>
      </c>
      <c r="X27" s="3">
        <f>Dataset!Q24</f>
        <v>83.78</v>
      </c>
    </row>
    <row r="28" spans="1:24" ht="30" customHeight="1" x14ac:dyDescent="0.3">
      <c r="A28" s="42" t="s">
        <v>12</v>
      </c>
      <c r="B28" s="42" t="s">
        <v>28</v>
      </c>
      <c r="C28" s="42" t="s">
        <v>32</v>
      </c>
      <c r="D28" s="42" t="s">
        <v>596</v>
      </c>
      <c r="E28" s="42" t="s">
        <v>597</v>
      </c>
      <c r="T28" s="3">
        <f>Dataset!F26</f>
        <v>100</v>
      </c>
      <c r="U28" s="3">
        <f>Dataset!J26</f>
        <v>92.4</v>
      </c>
      <c r="W28" s="3">
        <f>Dataset!G25</f>
        <v>1.6</v>
      </c>
      <c r="X28" s="3">
        <f>Dataset!Q25</f>
        <v>87.22</v>
      </c>
    </row>
    <row r="29" spans="1:24" x14ac:dyDescent="0.3">
      <c r="A29" s="51">
        <v>0</v>
      </c>
      <c r="B29" s="45">
        <f>COUNTIFS(Dataset!$M:$M,$A29,Dataset!$P:$P,"Placed")</f>
        <v>90</v>
      </c>
      <c r="C29" s="45">
        <f>COUNTIFS(Dataset!$M:$M,$A29,Dataset!$P:$P,"Not Placed")</f>
        <v>53</v>
      </c>
      <c r="D29" s="45">
        <f>B29+C29</f>
        <v>143</v>
      </c>
      <c r="E29" s="49">
        <f t="shared" ref="E29:E34" si="1">IFERROR(B29/D29,0)</f>
        <v>0.62937062937062938</v>
      </c>
      <c r="T29" s="3">
        <f>Dataset!F27</f>
        <v>91.1</v>
      </c>
      <c r="U29" s="3">
        <f>Dataset!J27</f>
        <v>82.2</v>
      </c>
      <c r="W29" s="3">
        <f>Dataset!G26</f>
        <v>8.5</v>
      </c>
      <c r="X29" s="3">
        <f>Dataset!Q26</f>
        <v>76.8</v>
      </c>
    </row>
    <row r="30" spans="1:24" x14ac:dyDescent="0.3">
      <c r="A30" s="51">
        <v>1</v>
      </c>
      <c r="B30" s="45">
        <f>COUNTIFS(Dataset!$M:$M,$A30,Dataset!$P:$P,"Placed")</f>
        <v>36</v>
      </c>
      <c r="C30" s="45">
        <f>COUNTIFS(Dataset!$M:$M,$A30,Dataset!$P:$P,"Not Placed")</f>
        <v>24</v>
      </c>
      <c r="D30" s="45">
        <f>B30+C30</f>
        <v>60</v>
      </c>
      <c r="E30" s="49">
        <f t="shared" si="1"/>
        <v>0.6</v>
      </c>
      <c r="T30" s="3">
        <f>Dataset!F28</f>
        <v>78</v>
      </c>
      <c r="U30" s="3">
        <f>Dataset!J28</f>
        <v>93.7</v>
      </c>
      <c r="W30" s="3">
        <f>Dataset!G27</f>
        <v>4.3</v>
      </c>
      <c r="X30" s="3">
        <f>Dataset!Q27</f>
        <v>71.55</v>
      </c>
    </row>
    <row r="31" spans="1:24" x14ac:dyDescent="0.3">
      <c r="A31" s="51">
        <v>2</v>
      </c>
      <c r="B31" s="45">
        <f>COUNTIFS(Dataset!$M:$M,$A31,Dataset!$P:$P,"Placed")</f>
        <v>9</v>
      </c>
      <c r="C31" s="45">
        <f>COUNTIFS(Dataset!$M:$M,$A31,Dataset!$P:$P,"Not Placed")</f>
        <v>25</v>
      </c>
      <c r="D31" s="45">
        <f>B31+C31</f>
        <v>34</v>
      </c>
      <c r="E31" s="49">
        <f t="shared" si="1"/>
        <v>0.26470588235294118</v>
      </c>
      <c r="T31" s="3">
        <f>Dataset!F29</f>
        <v>96.2</v>
      </c>
      <c r="U31" s="3">
        <f>Dataset!J29</f>
        <v>97.2</v>
      </c>
      <c r="W31" s="3">
        <f>Dataset!G28</f>
        <v>5</v>
      </c>
      <c r="X31" s="3">
        <f>Dataset!Q28</f>
        <v>87.28</v>
      </c>
    </row>
    <row r="32" spans="1:24" x14ac:dyDescent="0.3">
      <c r="A32" s="51">
        <v>3</v>
      </c>
      <c r="B32" s="45">
        <f>COUNTIFS(Dataset!$M:$M,$A32,Dataset!$P:$P,"Placed")</f>
        <v>3</v>
      </c>
      <c r="C32" s="45">
        <f>COUNTIFS(Dataset!$M:$M,$A32,Dataset!$P:$P,"Not Placed")</f>
        <v>6</v>
      </c>
      <c r="D32" s="45">
        <f>B32+C32</f>
        <v>9</v>
      </c>
      <c r="E32" s="49">
        <f t="shared" si="1"/>
        <v>0.33333333333333331</v>
      </c>
      <c r="T32" s="3">
        <f>Dataset!F30</f>
        <v>78.5</v>
      </c>
      <c r="U32" s="3">
        <f>Dataset!J30</f>
        <v>78.8</v>
      </c>
      <c r="W32" s="3">
        <f>Dataset!G29</f>
        <v>5.0999999999999996</v>
      </c>
      <c r="X32" s="3">
        <f>Dataset!Q29</f>
        <v>91.51</v>
      </c>
    </row>
    <row r="33" spans="1:24" x14ac:dyDescent="0.3">
      <c r="A33" s="51">
        <v>4</v>
      </c>
      <c r="B33" s="45">
        <f>COUNTIFS(Dataset!$M:$M,$A33,Dataset!$P:$P,"Placed")</f>
        <v>2</v>
      </c>
      <c r="C33" s="45">
        <f>COUNTIFS(Dataset!$M:$M,$A33,Dataset!$P:$P,"Not Placed")</f>
        <v>2</v>
      </c>
      <c r="D33" s="45">
        <f>B33+C33</f>
        <v>4</v>
      </c>
      <c r="E33" s="49">
        <f t="shared" si="1"/>
        <v>0.5</v>
      </c>
      <c r="T33" s="3">
        <f>Dataset!F31</f>
        <v>76</v>
      </c>
      <c r="U33" s="3">
        <f>Dataset!J31</f>
        <v>88.7</v>
      </c>
      <c r="W33" s="3">
        <f>Dataset!G30</f>
        <v>5.9</v>
      </c>
      <c r="X33" s="3">
        <f>Dataset!Q30</f>
        <v>79.84</v>
      </c>
    </row>
    <row r="34" spans="1:24" x14ac:dyDescent="0.3">
      <c r="A34" s="46" t="s">
        <v>594</v>
      </c>
      <c r="B34" s="48">
        <f>SUM(B29:B33)</f>
        <v>140</v>
      </c>
      <c r="C34" s="48">
        <f>SUM(C29:C33)</f>
        <v>110</v>
      </c>
      <c r="D34" s="48">
        <f>SUM(D29:D33)</f>
        <v>250</v>
      </c>
      <c r="E34" s="50">
        <f t="shared" si="1"/>
        <v>0.56000000000000005</v>
      </c>
      <c r="T34" s="3">
        <f>Dataset!F32</f>
        <v>94.6</v>
      </c>
      <c r="U34" s="3">
        <f>Dataset!J32</f>
        <v>81.8</v>
      </c>
      <c r="W34" s="3">
        <f>Dataset!G31</f>
        <v>2.1</v>
      </c>
      <c r="X34" s="3">
        <f>Dataset!Q31</f>
        <v>89.35</v>
      </c>
    </row>
    <row r="35" spans="1:24" x14ac:dyDescent="0.3">
      <c r="T35" s="3">
        <f>Dataset!F33</f>
        <v>70.2</v>
      </c>
      <c r="U35" s="3">
        <f>Dataset!J33</f>
        <v>79.8</v>
      </c>
      <c r="W35" s="3">
        <f>Dataset!G32</f>
        <v>4.8</v>
      </c>
      <c r="X35" s="3">
        <f>Dataset!Q32</f>
        <v>79.14</v>
      </c>
    </row>
    <row r="36" spans="1:24" x14ac:dyDescent="0.3">
      <c r="A36" s="17" t="s">
        <v>600</v>
      </c>
      <c r="B36" s="19"/>
      <c r="C36" s="19"/>
      <c r="D36" s="19"/>
      <c r="E36" s="19"/>
      <c r="F36" s="19"/>
      <c r="T36" s="3">
        <f>Dataset!F34</f>
        <v>64.8</v>
      </c>
      <c r="U36" s="3">
        <f>Dataset!J34</f>
        <v>67.599999999999994</v>
      </c>
      <c r="W36" s="3">
        <f>Dataset!G33</f>
        <v>3.6</v>
      </c>
      <c r="X36" s="3">
        <f>Dataset!Q33</f>
        <v>75.63</v>
      </c>
    </row>
    <row r="37" spans="1:24" ht="30" customHeight="1" x14ac:dyDescent="0.3">
      <c r="A37" s="42" t="s">
        <v>591</v>
      </c>
      <c r="B37" s="42" t="s">
        <v>592</v>
      </c>
      <c r="C37" s="42" t="s">
        <v>601</v>
      </c>
      <c r="D37" s="42" t="s">
        <v>593</v>
      </c>
      <c r="T37" s="3">
        <f>Dataset!F35</f>
        <v>90.5</v>
      </c>
      <c r="U37" s="3">
        <f>Dataset!J35</f>
        <v>85.7</v>
      </c>
      <c r="W37" s="3">
        <f>Dataset!G34</f>
        <v>1.8</v>
      </c>
      <c r="X37" s="3">
        <f>Dataset!Q34</f>
        <v>64.930000000000007</v>
      </c>
    </row>
    <row r="38" spans="1:24" x14ac:dyDescent="0.3">
      <c r="A38" s="40" t="s">
        <v>26</v>
      </c>
      <c r="B38" s="44">
        <f>IFERROR(AVERAGEIF(Dataset!$D:$D,$A38,Dataset!$Q:$Q),0)</f>
        <v>74.595175438596513</v>
      </c>
      <c r="C38" s="44">
        <f>IFERROR(AVERAGEIF(Dataset!$D:$D,$A38,Dataset!$J:$J),0)</f>
        <v>75.721929824561414</v>
      </c>
      <c r="D38" s="45">
        <f>COUNTIF(Dataset!$D:$D,$A38)</f>
        <v>114</v>
      </c>
      <c r="T38" s="3">
        <f>Dataset!F36</f>
        <v>82.2</v>
      </c>
      <c r="U38" s="3">
        <f>Dataset!J36</f>
        <v>77.5</v>
      </c>
      <c r="W38" s="3">
        <f>Dataset!G35</f>
        <v>6.6</v>
      </c>
      <c r="X38" s="3">
        <f>Dataset!Q35</f>
        <v>85.13</v>
      </c>
    </row>
    <row r="39" spans="1:24" x14ac:dyDescent="0.3">
      <c r="A39" s="40" t="s">
        <v>36</v>
      </c>
      <c r="B39" s="44">
        <f>IFERROR(AVERAGEIF(Dataset!$D:$D,$A39,Dataset!$Q:$Q),0)</f>
        <v>75.76419117647059</v>
      </c>
      <c r="C39" s="44">
        <f>IFERROR(AVERAGEIF(Dataset!$D:$D,$A39,Dataset!$J:$J),0)</f>
        <v>77.964705882352959</v>
      </c>
      <c r="D39" s="45">
        <f>COUNTIF(Dataset!$D:$D,$A39)</f>
        <v>136</v>
      </c>
      <c r="T39" s="3">
        <f>Dataset!F37</f>
        <v>83.1</v>
      </c>
      <c r="U39" s="3">
        <f>Dataset!J37</f>
        <v>86.8</v>
      </c>
      <c r="W39" s="3">
        <f>Dataset!G36</f>
        <v>4.2</v>
      </c>
      <c r="X39" s="3">
        <f>Dataset!Q36</f>
        <v>72.010000000000005</v>
      </c>
    </row>
    <row r="40" spans="1:24" x14ac:dyDescent="0.3">
      <c r="A40" s="46" t="s">
        <v>594</v>
      </c>
      <c r="B40" s="47">
        <f>AVERAGE(Dataset!$Q$2:$Q$251)</f>
        <v>75.231120000000004</v>
      </c>
      <c r="C40" s="47">
        <f>AVERAGE(Dataset!$J$2:$J$251)</f>
        <v>76.941999999999993</v>
      </c>
      <c r="D40" s="48">
        <f>SUM(D38:D39)</f>
        <v>250</v>
      </c>
      <c r="T40" s="3">
        <f>Dataset!F38</f>
        <v>78.7</v>
      </c>
      <c r="U40" s="3">
        <f>Dataset!J38</f>
        <v>67.3</v>
      </c>
      <c r="W40" s="3">
        <f>Dataset!G37</f>
        <v>5.2</v>
      </c>
      <c r="X40" s="3">
        <f>Dataset!Q37</f>
        <v>83.01</v>
      </c>
    </row>
    <row r="41" spans="1:24" x14ac:dyDescent="0.3">
      <c r="T41" s="3">
        <f>Dataset!F39</f>
        <v>79.900000000000006</v>
      </c>
      <c r="U41" s="3">
        <f>Dataset!J39</f>
        <v>83.7</v>
      </c>
      <c r="W41" s="3">
        <f>Dataset!G38</f>
        <v>5.0999999999999996</v>
      </c>
      <c r="X41" s="3">
        <f>Dataset!Q38</f>
        <v>76.59</v>
      </c>
    </row>
    <row r="42" spans="1:24" x14ac:dyDescent="0.3">
      <c r="A42" s="17" t="s">
        <v>602</v>
      </c>
      <c r="B42" s="19"/>
      <c r="C42" s="19"/>
      <c r="D42" s="19"/>
      <c r="E42" s="19"/>
      <c r="F42" s="19"/>
      <c r="T42" s="3">
        <f>Dataset!F40</f>
        <v>77.900000000000006</v>
      </c>
      <c r="U42" s="3">
        <f>Dataset!J40</f>
        <v>90.3</v>
      </c>
      <c r="W42" s="3">
        <f>Dataset!G39</f>
        <v>4.2</v>
      </c>
      <c r="X42" s="3">
        <f>Dataset!Q39</f>
        <v>80.78</v>
      </c>
    </row>
    <row r="43" spans="1:24" ht="30" customHeight="1" x14ac:dyDescent="0.3">
      <c r="A43" s="42" t="s">
        <v>591</v>
      </c>
      <c r="B43" s="42" t="s">
        <v>603</v>
      </c>
      <c r="C43" s="42" t="s">
        <v>604</v>
      </c>
      <c r="T43" s="3">
        <f>Dataset!F41</f>
        <v>76.400000000000006</v>
      </c>
      <c r="U43" s="3">
        <f>Dataset!J41</f>
        <v>68.2</v>
      </c>
      <c r="W43" s="3">
        <f>Dataset!G40</f>
        <v>8.4</v>
      </c>
      <c r="X43" s="3">
        <f>Dataset!Q40</f>
        <v>88.51</v>
      </c>
    </row>
    <row r="44" spans="1:24" x14ac:dyDescent="0.3">
      <c r="A44" s="40" t="s">
        <v>40</v>
      </c>
      <c r="B44" s="52">
        <f>SUMIF(Dataset!$C:$C,$A44,Dataset!$L:$L)</f>
        <v>110</v>
      </c>
      <c r="C44" s="44">
        <f>IFERROR(B44/COUNTIF(Dataset!$C:$C,$A44),0)</f>
        <v>2.2916666666666665</v>
      </c>
      <c r="T44" s="3">
        <f>Dataset!F42</f>
        <v>78.599999999999994</v>
      </c>
      <c r="U44" s="3">
        <f>Dataset!J42</f>
        <v>60.6</v>
      </c>
      <c r="W44" s="3">
        <f>Dataset!G41</f>
        <v>4.7</v>
      </c>
      <c r="X44" s="3">
        <f>Dataset!Q41</f>
        <v>70.599999999999994</v>
      </c>
    </row>
    <row r="45" spans="1:24" x14ac:dyDescent="0.3">
      <c r="A45" s="40" t="s">
        <v>43</v>
      </c>
      <c r="B45" s="52">
        <f>SUMIF(Dataset!$C:$C,$A45,Dataset!$L:$L)</f>
        <v>176</v>
      </c>
      <c r="C45" s="44">
        <f>IFERROR(B45/COUNTIF(Dataset!$C:$C,$A45),0)</f>
        <v>2.3157894736842106</v>
      </c>
      <c r="T45" s="3">
        <f>Dataset!F43</f>
        <v>78.3</v>
      </c>
      <c r="U45" s="3">
        <f>Dataset!J43</f>
        <v>66.099999999999994</v>
      </c>
      <c r="W45" s="3">
        <f>Dataset!G42</f>
        <v>2</v>
      </c>
      <c r="X45" s="3">
        <f>Dataset!Q42</f>
        <v>63.89</v>
      </c>
    </row>
    <row r="46" spans="1:24" x14ac:dyDescent="0.3">
      <c r="A46" s="40" t="s">
        <v>35</v>
      </c>
      <c r="B46" s="52">
        <f>SUMIF(Dataset!$C:$C,$A46,Dataset!$L:$L)</f>
        <v>58</v>
      </c>
      <c r="C46" s="44">
        <f>IFERROR(B46/COUNTIF(Dataset!$C:$C,$A46),0)</f>
        <v>1.5675675675675675</v>
      </c>
      <c r="T46" s="3">
        <f>Dataset!F44</f>
        <v>74.5</v>
      </c>
      <c r="U46" s="3">
        <f>Dataset!J44</f>
        <v>78.2</v>
      </c>
      <c r="W46" s="3">
        <f>Dataset!G43</f>
        <v>4.0999999999999996</v>
      </c>
      <c r="X46" s="3">
        <f>Dataset!Q43</f>
        <v>64.48</v>
      </c>
    </row>
    <row r="47" spans="1:24" x14ac:dyDescent="0.3">
      <c r="A47" s="40" t="s">
        <v>31</v>
      </c>
      <c r="B47" s="52">
        <f>SUMIF(Dataset!$C:$C,$A47,Dataset!$L:$L)</f>
        <v>79</v>
      </c>
      <c r="C47" s="44">
        <f>IFERROR(B47/COUNTIF(Dataset!$C:$C,$A47),0)</f>
        <v>1.9268292682926829</v>
      </c>
      <c r="T47" s="3">
        <f>Dataset!F45</f>
        <v>77.099999999999994</v>
      </c>
      <c r="U47" s="3">
        <f>Dataset!J45</f>
        <v>72</v>
      </c>
      <c r="W47" s="3">
        <f>Dataset!G44</f>
        <v>5.7</v>
      </c>
      <c r="X47" s="3">
        <f>Dataset!Q44</f>
        <v>73.52</v>
      </c>
    </row>
    <row r="48" spans="1:24" x14ac:dyDescent="0.3">
      <c r="A48" s="40" t="s">
        <v>25</v>
      </c>
      <c r="B48" s="52">
        <f>SUMIF(Dataset!$C:$C,$A48,Dataset!$L:$L)</f>
        <v>103</v>
      </c>
      <c r="C48" s="44">
        <f>IFERROR(B48/COUNTIF(Dataset!$C:$C,$A48),0)</f>
        <v>2.1458333333333335</v>
      </c>
      <c r="T48" s="3">
        <f>Dataset!F46</f>
        <v>59.5</v>
      </c>
      <c r="U48" s="3">
        <f>Dataset!J46</f>
        <v>72.7</v>
      </c>
      <c r="W48" s="3">
        <f>Dataset!G45</f>
        <v>5.8</v>
      </c>
      <c r="X48" s="3">
        <f>Dataset!Q45</f>
        <v>74.69</v>
      </c>
    </row>
    <row r="49" spans="1:24" x14ac:dyDescent="0.3">
      <c r="A49" s="46" t="s">
        <v>594</v>
      </c>
      <c r="B49" s="53">
        <f>SUM(B44:B48)</f>
        <v>526</v>
      </c>
      <c r="C49" s="47">
        <f>IFERROR(B49/COUNTA(Dataset!$A$2:$A$251),0)</f>
        <v>2.1040000000000001</v>
      </c>
      <c r="T49" s="3">
        <f>Dataset!F47</f>
        <v>88.2</v>
      </c>
      <c r="U49" s="3">
        <f>Dataset!J47</f>
        <v>97.5</v>
      </c>
      <c r="W49" s="3">
        <f>Dataset!G46</f>
        <v>2.8</v>
      </c>
      <c r="X49" s="3">
        <f>Dataset!Q46</f>
        <v>75.08</v>
      </c>
    </row>
    <row r="50" spans="1:24" x14ac:dyDescent="0.3">
      <c r="T50" s="3">
        <f>Dataset!F48</f>
        <v>85.5</v>
      </c>
      <c r="U50" s="3">
        <f>Dataset!J48</f>
        <v>86</v>
      </c>
      <c r="W50" s="3">
        <f>Dataset!G47</f>
        <v>6.5</v>
      </c>
      <c r="X50" s="3">
        <f>Dataset!Q47</f>
        <v>93.65</v>
      </c>
    </row>
    <row r="51" spans="1:24" x14ac:dyDescent="0.3">
      <c r="A51" s="17" t="s">
        <v>605</v>
      </c>
      <c r="B51" s="19"/>
      <c r="C51" s="19"/>
      <c r="D51" s="19"/>
      <c r="E51" s="19"/>
      <c r="F51" s="19"/>
      <c r="T51" s="3">
        <f>Dataset!F49</f>
        <v>81.2</v>
      </c>
      <c r="U51" s="3">
        <f>Dataset!J49</f>
        <v>75</v>
      </c>
      <c r="W51" s="3">
        <f>Dataset!G48</f>
        <v>1.6</v>
      </c>
      <c r="X51" s="3">
        <f>Dataset!Q48</f>
        <v>81.45</v>
      </c>
    </row>
    <row r="52" spans="1:24" ht="30" customHeight="1" x14ac:dyDescent="0.3">
      <c r="A52" s="42" t="s">
        <v>591</v>
      </c>
      <c r="B52" s="42" t="s">
        <v>606</v>
      </c>
      <c r="C52" s="42" t="s">
        <v>607</v>
      </c>
      <c r="D52" s="42" t="s">
        <v>608</v>
      </c>
      <c r="T52" s="3">
        <f>Dataset!F50</f>
        <v>84.1</v>
      </c>
      <c r="U52" s="3">
        <f>Dataset!J50</f>
        <v>64.2</v>
      </c>
      <c r="W52" s="3">
        <f>Dataset!G49</f>
        <v>6.9</v>
      </c>
      <c r="X52" s="3">
        <f>Dataset!Q49</f>
        <v>75</v>
      </c>
    </row>
    <row r="53" spans="1:24" x14ac:dyDescent="0.3">
      <c r="A53" s="40" t="s">
        <v>40</v>
      </c>
      <c r="B53" s="54">
        <f>IFERROR(AVERAGEIF(Dataset!$C:$C,$A53,Dataset!$O:$O),0)</f>
        <v>4485.770833333333</v>
      </c>
      <c r="C53" s="54">
        <f>IFERROR(AVERAGEIFS(Dataset!$O:$O,Dataset!$C:$C,$A53,Dataset!$N:$N,"Yes"),0)</f>
        <v>12665.705882352941</v>
      </c>
      <c r="D53" s="45">
        <f>COUNTIFS(Dataset!$C:$C,$A53,Dataset!$N:$N,"Yes")</f>
        <v>17</v>
      </c>
      <c r="T53" s="3">
        <f>Dataset!F51</f>
        <v>84.5</v>
      </c>
      <c r="U53" s="3">
        <f>Dataset!J51</f>
        <v>83.7</v>
      </c>
      <c r="W53" s="3">
        <f>Dataset!G50</f>
        <v>2.4</v>
      </c>
      <c r="X53" s="3">
        <f>Dataset!Q50</f>
        <v>64.260000000000005</v>
      </c>
    </row>
    <row r="54" spans="1:24" x14ac:dyDescent="0.3">
      <c r="A54" s="40" t="s">
        <v>43</v>
      </c>
      <c r="B54" s="54">
        <f>IFERROR(AVERAGEIF(Dataset!$C:$C,$A54,Dataset!$O:$O),0)</f>
        <v>5223.6315789473683</v>
      </c>
      <c r="C54" s="54">
        <f>IFERROR(AVERAGEIFS(Dataset!$O:$O,Dataset!$C:$C,$A54,Dataset!$N:$N,"Yes"),0)</f>
        <v>12806.322580645161</v>
      </c>
      <c r="D54" s="45">
        <f>COUNTIFS(Dataset!$C:$C,$A54,Dataset!$N:$N,"Yes")</f>
        <v>31</v>
      </c>
      <c r="T54" s="3">
        <f>Dataset!F52</f>
        <v>75.5</v>
      </c>
      <c r="U54" s="3">
        <f>Dataset!J52</f>
        <v>87.5</v>
      </c>
      <c r="W54" s="3">
        <f>Dataset!G51</f>
        <v>4.4000000000000004</v>
      </c>
      <c r="X54" s="3">
        <f>Dataset!Q51</f>
        <v>82.14</v>
      </c>
    </row>
    <row r="55" spans="1:24" x14ac:dyDescent="0.3">
      <c r="A55" s="40" t="s">
        <v>35</v>
      </c>
      <c r="B55" s="54">
        <f>IFERROR(AVERAGEIF(Dataset!$C:$C,$A55,Dataset!$O:$O),0)</f>
        <v>6234.3243243243242</v>
      </c>
      <c r="C55" s="54">
        <f>IFERROR(AVERAGEIFS(Dataset!$O:$O,Dataset!$C:$C,$A55,Dataset!$N:$N,"Yes"),0)</f>
        <v>12140.526315789473</v>
      </c>
      <c r="D55" s="45">
        <f>COUNTIFS(Dataset!$C:$C,$A55,Dataset!$N:$N,"Yes")</f>
        <v>19</v>
      </c>
      <c r="T55" s="3">
        <f>Dataset!F53</f>
        <v>77.2</v>
      </c>
      <c r="U55" s="3">
        <f>Dataset!J53</f>
        <v>80.2</v>
      </c>
      <c r="W55" s="3">
        <f>Dataset!G52</f>
        <v>6.7</v>
      </c>
      <c r="X55" s="3">
        <f>Dataset!Q52</f>
        <v>79.739999999999995</v>
      </c>
    </row>
    <row r="56" spans="1:24" x14ac:dyDescent="0.3">
      <c r="A56" s="40" t="s">
        <v>31</v>
      </c>
      <c r="B56" s="54">
        <f>IFERROR(AVERAGEIF(Dataset!$C:$C,$A56,Dataset!$O:$O),0)</f>
        <v>5285.4634146341459</v>
      </c>
      <c r="C56" s="54">
        <f>IFERROR(AVERAGEIFS(Dataset!$O:$O,Dataset!$C:$C,$A56,Dataset!$N:$N,"Yes"),0)</f>
        <v>11405.473684210527</v>
      </c>
      <c r="D56" s="45">
        <f>COUNTIFS(Dataset!$C:$C,$A56,Dataset!$N:$N,"Yes")</f>
        <v>19</v>
      </c>
      <c r="T56" s="3">
        <f>Dataset!F54</f>
        <v>86.8</v>
      </c>
      <c r="U56" s="3">
        <f>Dataset!J54</f>
        <v>81.400000000000006</v>
      </c>
      <c r="W56" s="3">
        <f>Dataset!G53</f>
        <v>5</v>
      </c>
      <c r="X56" s="3">
        <f>Dataset!Q53</f>
        <v>80.819999999999993</v>
      </c>
    </row>
    <row r="57" spans="1:24" x14ac:dyDescent="0.3">
      <c r="A57" s="40" t="s">
        <v>25</v>
      </c>
      <c r="B57" s="54">
        <f>IFERROR(AVERAGEIF(Dataset!$C:$C,$A57,Dataset!$O:$O),0)</f>
        <v>4667.104166666667</v>
      </c>
      <c r="C57" s="54">
        <f>IFERROR(AVERAGEIFS(Dataset!$O:$O,Dataset!$C:$C,$A57,Dataset!$N:$N,"Yes"),0)</f>
        <v>12445.611111111111</v>
      </c>
      <c r="D57" s="45">
        <f>COUNTIFS(Dataset!$C:$C,$A57,Dataset!$N:$N,"Yes")</f>
        <v>18</v>
      </c>
      <c r="T57" s="3">
        <f>Dataset!F55</f>
        <v>83.9</v>
      </c>
      <c r="U57" s="3">
        <f>Dataset!J55</f>
        <v>61.5</v>
      </c>
      <c r="W57" s="3">
        <f>Dataset!G54</f>
        <v>6.3</v>
      </c>
      <c r="X57" s="3">
        <f>Dataset!Q54</f>
        <v>71.7</v>
      </c>
    </row>
    <row r="58" spans="1:24" x14ac:dyDescent="0.3">
      <c r="A58" s="46" t="s">
        <v>594</v>
      </c>
      <c r="B58" s="55">
        <f>AVERAGE(Dataset!$O$2:$O$251)</f>
        <v>5134.8320000000003</v>
      </c>
      <c r="C58" s="55">
        <f>IFERROR(AVERAGEIF(Dataset!$O$2:$O$251,"&gt;0"),0)</f>
        <v>12343.346153846154</v>
      </c>
      <c r="D58" s="48">
        <f>SUM(D53:D57)</f>
        <v>104</v>
      </c>
      <c r="T58" s="3">
        <f>Dataset!F56</f>
        <v>100</v>
      </c>
      <c r="U58" s="3">
        <f>Dataset!J56</f>
        <v>75.900000000000006</v>
      </c>
      <c r="W58" s="3">
        <f>Dataset!G55</f>
        <v>5.9</v>
      </c>
      <c r="X58" s="3">
        <f>Dataset!Q55</f>
        <v>64.36</v>
      </c>
    </row>
    <row r="59" spans="1:24" x14ac:dyDescent="0.3">
      <c r="T59" s="3">
        <f>Dataset!F57</f>
        <v>96.6</v>
      </c>
      <c r="U59" s="3">
        <f>Dataset!J57</f>
        <v>84.7</v>
      </c>
      <c r="W59" s="3">
        <f>Dataset!G56</f>
        <v>7.1</v>
      </c>
      <c r="X59" s="3">
        <f>Dataset!Q56</f>
        <v>74.62</v>
      </c>
    </row>
    <row r="60" spans="1:24" x14ac:dyDescent="0.3">
      <c r="A60" s="17" t="s">
        <v>609</v>
      </c>
      <c r="B60" s="19"/>
      <c r="C60" s="19"/>
      <c r="D60" s="19"/>
      <c r="E60" s="19"/>
      <c r="F60" s="19"/>
      <c r="T60" s="3">
        <f>Dataset!F58</f>
        <v>90.4</v>
      </c>
      <c r="U60" s="3">
        <f>Dataset!J58</f>
        <v>71.2</v>
      </c>
      <c r="W60" s="3">
        <f>Dataset!G57</f>
        <v>6.7</v>
      </c>
      <c r="X60" s="3">
        <f>Dataset!Q57</f>
        <v>77.88</v>
      </c>
    </row>
    <row r="61" spans="1:24" ht="30" customHeight="1" x14ac:dyDescent="0.3">
      <c r="A61" s="42" t="s">
        <v>591</v>
      </c>
      <c r="B61" s="42" t="s">
        <v>592</v>
      </c>
      <c r="C61" s="42" t="s">
        <v>610</v>
      </c>
      <c r="D61" s="42" t="s">
        <v>593</v>
      </c>
      <c r="E61" s="42" t="s">
        <v>597</v>
      </c>
      <c r="T61" s="3">
        <f>Dataset!F59</f>
        <v>75.099999999999994</v>
      </c>
      <c r="U61" s="3">
        <f>Dataset!J59</f>
        <v>77.3</v>
      </c>
      <c r="W61" s="3">
        <f>Dataset!G58</f>
        <v>4</v>
      </c>
      <c r="X61" s="3">
        <f>Dataset!Q58</f>
        <v>75.180000000000007</v>
      </c>
    </row>
    <row r="62" spans="1:24" x14ac:dyDescent="0.3">
      <c r="A62" s="56">
        <v>1</v>
      </c>
      <c r="B62" s="44">
        <f>IFERROR(AVERAGEIF(Dataset!$E:$E,$A62,Dataset!$Q:$Q),0)</f>
        <v>75.435675675675682</v>
      </c>
      <c r="C62" s="57">
        <f>IFERROR(AVERAGEIF(Dataset!$E:$E,$A62,Dataset!$F:$F),0)</f>
        <v>82.638888888888886</v>
      </c>
      <c r="D62" s="45">
        <f>COUNTIF(Dataset!$E:$E,$A62)</f>
        <v>37</v>
      </c>
      <c r="E62" s="49">
        <f>IFERROR(SUMIF(Dataset!$E:$E,$A62,Dataset!$S:$S)/D62,0)</f>
        <v>0.56756756756756754</v>
      </c>
      <c r="T62" s="3">
        <f>Dataset!F60</f>
        <v>76.900000000000006</v>
      </c>
      <c r="U62" s="3">
        <f>Dataset!J60</f>
        <v>55.9</v>
      </c>
      <c r="W62" s="3">
        <f>Dataset!G59</f>
        <v>5.9</v>
      </c>
      <c r="X62" s="3">
        <f>Dataset!Q59</f>
        <v>80.7</v>
      </c>
    </row>
    <row r="63" spans="1:24" x14ac:dyDescent="0.3">
      <c r="A63" s="56">
        <v>2</v>
      </c>
      <c r="B63" s="44">
        <f>IFERROR(AVERAGEIF(Dataset!$E:$E,$A63,Dataset!$Q:$Q),0)</f>
        <v>77.779428571428596</v>
      </c>
      <c r="C63" s="57">
        <f>IFERROR(AVERAGEIF(Dataset!$E:$E,$A63,Dataset!$F:$F),0)</f>
        <v>80.231250000000003</v>
      </c>
      <c r="D63" s="45">
        <f>COUNTIF(Dataset!$E:$E,$A63)</f>
        <v>35</v>
      </c>
      <c r="E63" s="49">
        <f>IFERROR(SUMIF(Dataset!$E:$E,$A63,Dataset!$S:$S)/D63,0)</f>
        <v>0.51428571428571423</v>
      </c>
      <c r="T63" s="3">
        <f>Dataset!F61</f>
        <v>73</v>
      </c>
      <c r="U63" s="3">
        <f>Dataset!J61</f>
        <v>67.8</v>
      </c>
      <c r="W63" s="3">
        <f>Dataset!G60</f>
        <v>2.1</v>
      </c>
      <c r="X63" s="3">
        <f>Dataset!Q60</f>
        <v>56.34</v>
      </c>
    </row>
    <row r="64" spans="1:24" x14ac:dyDescent="0.3">
      <c r="A64" s="56">
        <v>3</v>
      </c>
      <c r="B64" s="44">
        <f>IFERROR(AVERAGEIF(Dataset!$E:$E,$A64,Dataset!$Q:$Q),0)</f>
        <v>76.215483870967716</v>
      </c>
      <c r="C64" s="57">
        <f>IFERROR(AVERAGEIF(Dataset!$E:$E,$A64,Dataset!$F:$F),0)</f>
        <v>81.306451612903246</v>
      </c>
      <c r="D64" s="45">
        <f>COUNTIF(Dataset!$E:$E,$A64)</f>
        <v>31</v>
      </c>
      <c r="E64" s="49">
        <f>IFERROR(SUMIF(Dataset!$E:$E,$A64,Dataset!$S:$S)/D64,0)</f>
        <v>0.67741935483870963</v>
      </c>
      <c r="T64" s="3">
        <f>Dataset!F62</f>
        <v>84.5</v>
      </c>
      <c r="U64" s="3">
        <f>Dataset!J62</f>
        <v>75.2</v>
      </c>
      <c r="W64" s="3">
        <f>Dataset!G61</f>
        <v>4.7</v>
      </c>
      <c r="X64" s="3">
        <f>Dataset!Q61</f>
        <v>61.64</v>
      </c>
    </row>
    <row r="65" spans="1:24" x14ac:dyDescent="0.3">
      <c r="A65" s="56">
        <v>4</v>
      </c>
      <c r="B65" s="44">
        <f>IFERROR(AVERAGEIF(Dataset!$E:$E,$A65,Dataset!$Q:$Q),0)</f>
        <v>72.87299999999999</v>
      </c>
      <c r="C65" s="57">
        <f>IFERROR(AVERAGEIF(Dataset!$E:$E,$A65,Dataset!$F:$F),0)</f>
        <v>82.984210526315806</v>
      </c>
      <c r="D65" s="45">
        <f>COUNTIF(Dataset!$E:$E,$A65)</f>
        <v>20</v>
      </c>
      <c r="E65" s="49">
        <f>IFERROR(SUMIF(Dataset!$E:$E,$A65,Dataset!$S:$S)/D65,0)</f>
        <v>0.55000000000000004</v>
      </c>
      <c r="T65" s="3">
        <f>Dataset!F63</f>
        <v>57.3</v>
      </c>
      <c r="U65" s="3">
        <f>Dataset!J63</f>
        <v>72.900000000000006</v>
      </c>
      <c r="W65" s="3">
        <f>Dataset!G62</f>
        <v>6.3</v>
      </c>
      <c r="X65" s="3">
        <f>Dataset!Q62</f>
        <v>78.739999999999995</v>
      </c>
    </row>
    <row r="66" spans="1:24" x14ac:dyDescent="0.3">
      <c r="A66" s="56">
        <v>5</v>
      </c>
      <c r="B66" s="44">
        <f>IFERROR(AVERAGEIF(Dataset!$E:$E,$A66,Dataset!$Q:$Q),0)</f>
        <v>74.409210526315803</v>
      </c>
      <c r="C66" s="57">
        <f>IFERROR(AVERAGEIF(Dataset!$E:$E,$A66,Dataset!$F:$F),0)</f>
        <v>81.647368421052633</v>
      </c>
      <c r="D66" s="45">
        <f>COUNTIF(Dataset!$E:$E,$A66)</f>
        <v>38</v>
      </c>
      <c r="E66" s="49">
        <f>IFERROR(SUMIF(Dataset!$E:$E,$A66,Dataset!$S:$S)/D66,0)</f>
        <v>0.47368421052631576</v>
      </c>
      <c r="T66" s="3">
        <f>Dataset!F64</f>
        <v>77.900000000000006</v>
      </c>
      <c r="U66" s="3">
        <f>Dataset!J64</f>
        <v>90.3</v>
      </c>
      <c r="W66" s="3">
        <f>Dataset!G63</f>
        <v>5</v>
      </c>
      <c r="X66" s="3">
        <f>Dataset!Q63</f>
        <v>73.31</v>
      </c>
    </row>
    <row r="67" spans="1:24" x14ac:dyDescent="0.3">
      <c r="A67" s="56">
        <v>6</v>
      </c>
      <c r="B67" s="44">
        <f>IFERROR(AVERAGEIF(Dataset!$E:$E,$A67,Dataset!$Q:$Q),0)</f>
        <v>73.739696969696951</v>
      </c>
      <c r="C67" s="57">
        <f>IFERROR(AVERAGEIF(Dataset!$E:$E,$A67,Dataset!$F:$F),0)</f>
        <v>78.38484848484849</v>
      </c>
      <c r="D67" s="45">
        <f>COUNTIF(Dataset!$E:$E,$A67)</f>
        <v>33</v>
      </c>
      <c r="E67" s="49">
        <f>IFERROR(SUMIF(Dataset!$E:$E,$A67,Dataset!$S:$S)/D67,0)</f>
        <v>0.51515151515151514</v>
      </c>
      <c r="T67" s="3">
        <f>Dataset!F65</f>
        <v>79.2</v>
      </c>
      <c r="U67" s="3">
        <f>Dataset!J65</f>
        <v>80.7</v>
      </c>
      <c r="W67" s="3">
        <f>Dataset!G64</f>
        <v>5.6</v>
      </c>
      <c r="X67" s="3">
        <f>Dataset!Q64</f>
        <v>85.18</v>
      </c>
    </row>
    <row r="68" spans="1:24" x14ac:dyDescent="0.3">
      <c r="A68" s="56">
        <v>7</v>
      </c>
      <c r="B68" s="44">
        <f>IFERROR(AVERAGEIF(Dataset!$E:$E,$A68,Dataset!$Q:$Q),0)</f>
        <v>77.300333333333327</v>
      </c>
      <c r="C68" s="57">
        <f>IFERROR(AVERAGEIF(Dataset!$E:$E,$A68,Dataset!$F:$F),0)</f>
        <v>84.423333333333332</v>
      </c>
      <c r="D68" s="45">
        <f>COUNTIF(Dataset!$E:$E,$A68)</f>
        <v>30</v>
      </c>
      <c r="E68" s="49">
        <f>IFERROR(SUMIF(Dataset!$E:$E,$A68,Dataset!$S:$S)/D68,0)</f>
        <v>0.7</v>
      </c>
      <c r="T68" s="3">
        <f>Dataset!F66</f>
        <v>68.3</v>
      </c>
      <c r="U68" s="3">
        <f>Dataset!J66</f>
        <v>72.400000000000006</v>
      </c>
      <c r="W68" s="3">
        <f>Dataset!G65</f>
        <v>4.4000000000000004</v>
      </c>
      <c r="X68" s="3">
        <f>Dataset!Q65</f>
        <v>81.91</v>
      </c>
    </row>
    <row r="69" spans="1:24" x14ac:dyDescent="0.3">
      <c r="A69" s="56">
        <v>8</v>
      </c>
      <c r="B69" s="44">
        <f>IFERROR(AVERAGEIF(Dataset!$E:$E,$A69,Dataset!$Q:$Q),0)</f>
        <v>72.856538461538449</v>
      </c>
      <c r="C69" s="57">
        <f>IFERROR(AVERAGEIF(Dataset!$E:$E,$A69,Dataset!$F:$F),0)</f>
        <v>78.723076923076917</v>
      </c>
      <c r="D69" s="45">
        <f>COUNTIF(Dataset!$E:$E,$A69)</f>
        <v>26</v>
      </c>
      <c r="E69" s="49">
        <f>IFERROR(SUMIF(Dataset!$E:$E,$A69,Dataset!$S:$S)/D69,0)</f>
        <v>0.5</v>
      </c>
      <c r="T69" s="3">
        <f>Dataset!F67</f>
        <v>89.2</v>
      </c>
      <c r="U69" s="3">
        <f>Dataset!J67</f>
        <v>79.599999999999994</v>
      </c>
      <c r="W69" s="3">
        <f>Dataset!G66</f>
        <v>6.8</v>
      </c>
      <c r="X69" s="3">
        <f>Dataset!Q66</f>
        <v>69.81</v>
      </c>
    </row>
    <row r="70" spans="1:24" x14ac:dyDescent="0.3">
      <c r="A70" s="46" t="s">
        <v>594</v>
      </c>
      <c r="B70" s="47">
        <f>AVERAGE(Dataset!$Q$2:$Q$251)</f>
        <v>75.231120000000004</v>
      </c>
      <c r="C70" s="58">
        <f>AVERAGE(Dataset!$F$2:$F$251)</f>
        <v>81.258775510204117</v>
      </c>
      <c r="D70" s="48">
        <f>SUM(D62:D69)</f>
        <v>250</v>
      </c>
      <c r="E70" s="50">
        <f>IFERROR(SUM(Dataset!$S$2:$S$251)/D70,0)</f>
        <v>0.56000000000000005</v>
      </c>
      <c r="T70" s="3">
        <f>Dataset!F68</f>
        <v>71.7</v>
      </c>
      <c r="U70" s="3">
        <f>Dataset!J68</f>
        <v>72.599999999999994</v>
      </c>
      <c r="W70" s="3">
        <f>Dataset!G68</f>
        <v>4</v>
      </c>
      <c r="X70" s="3">
        <f>Dataset!Q68</f>
        <v>73.56</v>
      </c>
    </row>
    <row r="71" spans="1:24" x14ac:dyDescent="0.3">
      <c r="T71" s="3">
        <f>Dataset!F69</f>
        <v>84.4</v>
      </c>
      <c r="U71" s="3">
        <f>Dataset!J69</f>
        <v>94.3</v>
      </c>
      <c r="W71" s="3">
        <f>Dataset!G69</f>
        <v>6.4</v>
      </c>
      <c r="X71" s="3">
        <f>Dataset!Q69</f>
        <v>86.36</v>
      </c>
    </row>
    <row r="72" spans="1:24" x14ac:dyDescent="0.3">
      <c r="A72" s="17" t="s">
        <v>611</v>
      </c>
      <c r="B72" s="19"/>
      <c r="C72" s="19"/>
      <c r="D72" s="19"/>
      <c r="E72" s="19"/>
      <c r="F72" s="19"/>
      <c r="T72" s="3">
        <f>Dataset!F70</f>
        <v>100</v>
      </c>
      <c r="U72" s="3">
        <f>Dataset!J70</f>
        <v>67.2</v>
      </c>
      <c r="W72" s="3">
        <f>Dataset!G70</f>
        <v>2.2999999999999998</v>
      </c>
      <c r="X72" s="3">
        <f>Dataset!Q70</f>
        <v>69.95</v>
      </c>
    </row>
    <row r="73" spans="1:24" ht="30" customHeight="1" x14ac:dyDescent="0.3">
      <c r="A73" s="42" t="s">
        <v>591</v>
      </c>
      <c r="B73" s="42" t="s">
        <v>593</v>
      </c>
      <c r="C73" s="42" t="s">
        <v>612</v>
      </c>
      <c r="D73" s="42" t="s">
        <v>592</v>
      </c>
      <c r="E73" s="42" t="s">
        <v>601</v>
      </c>
      <c r="T73" s="3">
        <f>Dataset!F71</f>
        <v>67.5</v>
      </c>
      <c r="U73" s="3">
        <f>Dataset!J71</f>
        <v>79.2</v>
      </c>
      <c r="W73" s="3">
        <f>Dataset!G71</f>
        <v>5.7</v>
      </c>
      <c r="X73" s="3">
        <f>Dataset!Q71</f>
        <v>78.03</v>
      </c>
    </row>
    <row r="74" spans="1:24" x14ac:dyDescent="0.3">
      <c r="A74" s="40" t="s">
        <v>28</v>
      </c>
      <c r="B74" s="45">
        <f>COUNTIF(Dataset!$P:$P,$A74)</f>
        <v>140</v>
      </c>
      <c r="C74" s="49">
        <f>IFERROR(B74/SUM(B$74:B$75),0)</f>
        <v>0.56000000000000005</v>
      </c>
      <c r="D74" s="44">
        <f>IFERROR(AVERAGEIF(Dataset!$P:$P,$A74,Dataset!$Q:$Q),0)</f>
        <v>76.854285714285723</v>
      </c>
      <c r="E74" s="44">
        <f>IFERROR(AVERAGEIF(Dataset!$P:$P,$A74,Dataset!$J:$J),0)</f>
        <v>79.188571428571436</v>
      </c>
      <c r="T74" s="3">
        <f>Dataset!F72</f>
        <v>80.7</v>
      </c>
      <c r="U74" s="3">
        <f>Dataset!J72</f>
        <v>82.9</v>
      </c>
      <c r="W74" s="3">
        <f>Dataset!G72</f>
        <v>2.9</v>
      </c>
      <c r="X74" s="3">
        <f>Dataset!Q72</f>
        <v>84.23</v>
      </c>
    </row>
    <row r="75" spans="1:24" x14ac:dyDescent="0.3">
      <c r="A75" s="40" t="s">
        <v>32</v>
      </c>
      <c r="B75" s="45">
        <f>COUNTIF(Dataset!$P:$P,$A75)</f>
        <v>110</v>
      </c>
      <c r="C75" s="49">
        <f>IFERROR(B75/SUM(B$74:B$75),0)</f>
        <v>0.44</v>
      </c>
      <c r="D75" s="44">
        <f>IFERROR(AVERAGEIF(Dataset!$P:$P,$A75,Dataset!$Q:$Q),0)</f>
        <v>73.165272727272693</v>
      </c>
      <c r="E75" s="44">
        <f>IFERROR(AVERAGEIF(Dataset!$P:$P,$A75,Dataset!$J:$J),0)</f>
        <v>74.082727272727283</v>
      </c>
      <c r="T75" s="3">
        <f>Dataset!F73</f>
        <v>78.3</v>
      </c>
      <c r="U75" s="3">
        <f>Dataset!J73</f>
        <v>84.9</v>
      </c>
      <c r="W75" s="3">
        <f>Dataset!G73</f>
        <v>7.1</v>
      </c>
      <c r="X75" s="3">
        <f>Dataset!Q73</f>
        <v>83.79</v>
      </c>
    </row>
    <row r="76" spans="1:24" x14ac:dyDescent="0.3">
      <c r="A76" s="46" t="s">
        <v>594</v>
      </c>
      <c r="B76" s="48">
        <f>SUM(B74:B75)</f>
        <v>250</v>
      </c>
      <c r="C76" s="50">
        <f>SUM(C74:C75)</f>
        <v>1</v>
      </c>
      <c r="D76" s="47">
        <f>AVERAGE(Dataset!$Q$2:$Q$251)</f>
        <v>75.231120000000004</v>
      </c>
      <c r="E76" s="47">
        <f>AVERAGE(Dataset!$J$2:$J$251)</f>
        <v>76.941999999999993</v>
      </c>
      <c r="T76" s="3">
        <f>Dataset!F74</f>
        <v>76.599999999999994</v>
      </c>
      <c r="U76" s="3">
        <f>Dataset!J74</f>
        <v>53.3</v>
      </c>
      <c r="W76" s="3">
        <f>Dataset!G74</f>
        <v>4.3</v>
      </c>
      <c r="X76" s="3">
        <f>Dataset!Q74</f>
        <v>62.36</v>
      </c>
    </row>
    <row r="77" spans="1:24" x14ac:dyDescent="0.3">
      <c r="T77" s="3">
        <f>Dataset!F75</f>
        <v>88.8</v>
      </c>
      <c r="U77" s="3">
        <f>Dataset!J75</f>
        <v>74.3</v>
      </c>
      <c r="W77" s="3">
        <f>Dataset!G75</f>
        <v>5</v>
      </c>
      <c r="X77" s="3">
        <f>Dataset!Q75</f>
        <v>71.180000000000007</v>
      </c>
    </row>
    <row r="78" spans="1:24" x14ac:dyDescent="0.3">
      <c r="T78" s="3">
        <f>Dataset!F76</f>
        <v>92</v>
      </c>
      <c r="U78" s="3">
        <f>Dataset!J76</f>
        <v>80.7</v>
      </c>
      <c r="W78" s="3">
        <f>Dataset!G76</f>
        <v>5.5</v>
      </c>
      <c r="X78" s="3">
        <f>Dataset!Q76</f>
        <v>73.010000000000005</v>
      </c>
    </row>
    <row r="79" spans="1:24" x14ac:dyDescent="0.3">
      <c r="T79" s="3">
        <f>Dataset!F77</f>
        <v>88.9</v>
      </c>
      <c r="U79" s="3">
        <f>Dataset!J77</f>
        <v>74.099999999999994</v>
      </c>
      <c r="W79" s="3">
        <f>Dataset!G77</f>
        <v>1.3</v>
      </c>
      <c r="X79" s="3">
        <f>Dataset!Q77</f>
        <v>71.62</v>
      </c>
    </row>
    <row r="80" spans="1:24" x14ac:dyDescent="0.3">
      <c r="T80" s="3">
        <f>Dataset!F78</f>
        <v>75.5</v>
      </c>
      <c r="U80" s="3">
        <f>Dataset!J78</f>
        <v>64.3</v>
      </c>
      <c r="W80" s="3">
        <f>Dataset!G78</f>
        <v>3.6</v>
      </c>
      <c r="X80" s="3">
        <f>Dataset!Q78</f>
        <v>60.3</v>
      </c>
    </row>
    <row r="81" spans="20:24" x14ac:dyDescent="0.3">
      <c r="T81" s="3">
        <f>Dataset!F79</f>
        <v>100</v>
      </c>
      <c r="U81" s="3">
        <f>Dataset!J79</f>
        <v>85.2</v>
      </c>
      <c r="W81" s="3">
        <f>Dataset!G79</f>
        <v>6.7</v>
      </c>
      <c r="X81" s="3">
        <f>Dataset!Q79</f>
        <v>84.78</v>
      </c>
    </row>
    <row r="82" spans="20:24" x14ac:dyDescent="0.3">
      <c r="T82" s="3">
        <f>Dataset!F80</f>
        <v>66.099999999999994</v>
      </c>
      <c r="U82" s="3">
        <f>Dataset!J80</f>
        <v>80</v>
      </c>
      <c r="W82" s="3">
        <f>Dataset!G80</f>
        <v>6.4</v>
      </c>
      <c r="X82" s="3">
        <f>Dataset!Q80</f>
        <v>76.61</v>
      </c>
    </row>
    <row r="83" spans="20:24" x14ac:dyDescent="0.3">
      <c r="T83" s="3">
        <f>Dataset!F81</f>
        <v>72.7</v>
      </c>
      <c r="U83" s="3">
        <f>Dataset!J81</f>
        <v>77.099999999999994</v>
      </c>
      <c r="W83" s="3">
        <f>Dataset!G81</f>
        <v>5.3</v>
      </c>
      <c r="X83" s="3">
        <f>Dataset!Q81</f>
        <v>78.83</v>
      </c>
    </row>
    <row r="84" spans="20:24" x14ac:dyDescent="0.3">
      <c r="T84" s="3">
        <f>Dataset!F82</f>
        <v>83.5</v>
      </c>
      <c r="U84" s="3">
        <f>Dataset!J82</f>
        <v>66.7</v>
      </c>
      <c r="W84" s="3">
        <f>Dataset!G82</f>
        <v>2.4</v>
      </c>
      <c r="X84" s="3">
        <f>Dataset!Q82</f>
        <v>63.39</v>
      </c>
    </row>
    <row r="85" spans="20:24" x14ac:dyDescent="0.3">
      <c r="T85" s="3">
        <f>Dataset!F83</f>
        <v>82.8</v>
      </c>
      <c r="U85" s="3">
        <f>Dataset!J83</f>
        <v>82.6</v>
      </c>
      <c r="W85" s="3">
        <f>Dataset!G83</f>
        <v>5.9</v>
      </c>
      <c r="X85" s="3">
        <f>Dataset!Q83</f>
        <v>79.56</v>
      </c>
    </row>
    <row r="86" spans="20:24" x14ac:dyDescent="0.3">
      <c r="T86" s="3">
        <f>Dataset!F84</f>
        <v>86.4</v>
      </c>
      <c r="U86" s="3">
        <f>Dataset!J84</f>
        <v>82.9</v>
      </c>
      <c r="W86" s="3">
        <f>Dataset!G84</f>
        <v>6.1</v>
      </c>
      <c r="X86" s="3">
        <f>Dataset!Q84</f>
        <v>83.65</v>
      </c>
    </row>
    <row r="87" spans="20:24" x14ac:dyDescent="0.3">
      <c r="T87" s="3">
        <f>Dataset!F85</f>
        <v>96.2</v>
      </c>
      <c r="U87" s="3">
        <f>Dataset!J85</f>
        <v>73.3</v>
      </c>
      <c r="W87" s="3">
        <f>Dataset!G85</f>
        <v>4.9000000000000004</v>
      </c>
      <c r="X87" s="3">
        <f>Dataset!Q85</f>
        <v>73.010000000000005</v>
      </c>
    </row>
    <row r="88" spans="20:24" x14ac:dyDescent="0.3">
      <c r="T88" s="3">
        <f>Dataset!F86</f>
        <v>80.900000000000006</v>
      </c>
      <c r="U88" s="3">
        <f>Dataset!J86</f>
        <v>81.2</v>
      </c>
      <c r="W88" s="3">
        <f>Dataset!G86</f>
        <v>7</v>
      </c>
      <c r="X88" s="3">
        <f>Dataset!Q86</f>
        <v>75.650000000000006</v>
      </c>
    </row>
    <row r="89" spans="20:24" x14ac:dyDescent="0.3">
      <c r="T89" s="3">
        <f>Dataset!F87</f>
        <v>83</v>
      </c>
      <c r="U89" s="3">
        <f>Dataset!J87</f>
        <v>76.7</v>
      </c>
      <c r="W89" s="3">
        <f>Dataset!G87</f>
        <v>3.6</v>
      </c>
      <c r="X89" s="3">
        <f>Dataset!Q87</f>
        <v>77.150000000000006</v>
      </c>
    </row>
    <row r="90" spans="20:24" x14ac:dyDescent="0.3">
      <c r="T90" s="3">
        <f>Dataset!F88</f>
        <v>76.599999999999994</v>
      </c>
      <c r="U90" s="3">
        <f>Dataset!J88</f>
        <v>55.3</v>
      </c>
      <c r="W90" s="3">
        <f>Dataset!G88</f>
        <v>3.9</v>
      </c>
      <c r="X90" s="3">
        <f>Dataset!Q88</f>
        <v>55.93</v>
      </c>
    </row>
    <row r="91" spans="20:24" x14ac:dyDescent="0.3">
      <c r="T91" s="3">
        <f>Dataset!F89</f>
        <v>87.3</v>
      </c>
      <c r="U91" s="3">
        <f>Dataset!J89</f>
        <v>60.8</v>
      </c>
      <c r="W91" s="3">
        <f>Dataset!G89</f>
        <v>1</v>
      </c>
      <c r="X91" s="3">
        <f>Dataset!Q89</f>
        <v>64.23</v>
      </c>
    </row>
    <row r="92" spans="20:24" x14ac:dyDescent="0.3">
      <c r="T92" s="3">
        <f>Dataset!F90</f>
        <v>79.099999999999994</v>
      </c>
      <c r="U92" s="3">
        <f>Dataset!J90</f>
        <v>79.400000000000006</v>
      </c>
      <c r="W92" s="3">
        <f>Dataset!G90</f>
        <v>6.5</v>
      </c>
      <c r="X92" s="3">
        <f>Dataset!Q90</f>
        <v>77.819999999999993</v>
      </c>
    </row>
    <row r="93" spans="20:24" x14ac:dyDescent="0.3">
      <c r="T93" s="3">
        <f>Dataset!F91</f>
        <v>79.099999999999994</v>
      </c>
      <c r="U93" s="3">
        <f>Dataset!J91</f>
        <v>80.400000000000006</v>
      </c>
      <c r="W93" s="3">
        <f>Dataset!G91</f>
        <v>5.4</v>
      </c>
      <c r="X93" s="3">
        <f>Dataset!Q91</f>
        <v>70.989999999999995</v>
      </c>
    </row>
    <row r="94" spans="20:24" x14ac:dyDescent="0.3">
      <c r="T94" s="3">
        <f>Dataset!F92</f>
        <v>86.9</v>
      </c>
      <c r="U94" s="3">
        <f>Dataset!J92</f>
        <v>66.8</v>
      </c>
      <c r="W94" s="3">
        <f>Dataset!G92</f>
        <v>1.8</v>
      </c>
      <c r="X94" s="3">
        <f>Dataset!Q92</f>
        <v>68.290000000000006</v>
      </c>
    </row>
    <row r="95" spans="20:24" x14ac:dyDescent="0.3">
      <c r="T95" s="3">
        <f>Dataset!F93</f>
        <v>91.3</v>
      </c>
      <c r="U95" s="3">
        <f>Dataset!J93</f>
        <v>72.2</v>
      </c>
      <c r="W95" s="3">
        <f>Dataset!G93</f>
        <v>1.6</v>
      </c>
      <c r="X95" s="3">
        <f>Dataset!Q93</f>
        <v>72.44</v>
      </c>
    </row>
    <row r="96" spans="20:24" x14ac:dyDescent="0.3">
      <c r="T96" s="3">
        <f>Dataset!F94</f>
        <v>62.1</v>
      </c>
      <c r="U96" s="3">
        <f>Dataset!J94</f>
        <v>52.8</v>
      </c>
      <c r="W96" s="3">
        <f>Dataset!G94</f>
        <v>3.2</v>
      </c>
      <c r="X96" s="3">
        <f>Dataset!Q94</f>
        <v>50.2</v>
      </c>
    </row>
    <row r="97" spans="20:24" x14ac:dyDescent="0.3">
      <c r="T97" s="3">
        <f>Dataset!F95</f>
        <v>85.2</v>
      </c>
      <c r="U97" s="3">
        <f>Dataset!J95</f>
        <v>69.7</v>
      </c>
      <c r="W97" s="3">
        <f>Dataset!G95</f>
        <v>6.2</v>
      </c>
      <c r="X97" s="3">
        <f>Dataset!Q95</f>
        <v>69.58</v>
      </c>
    </row>
    <row r="98" spans="20:24" x14ac:dyDescent="0.3">
      <c r="T98" s="3">
        <f>Dataset!F97</f>
        <v>90.5</v>
      </c>
      <c r="U98" s="3">
        <f>Dataset!J97</f>
        <v>75</v>
      </c>
      <c r="W98" s="3">
        <f>Dataset!G96</f>
        <v>4.3</v>
      </c>
      <c r="X98" s="3">
        <f>Dataset!Q96</f>
        <v>46.3</v>
      </c>
    </row>
    <row r="99" spans="20:24" x14ac:dyDescent="0.3">
      <c r="T99" s="3">
        <f>Dataset!F98</f>
        <v>79.7</v>
      </c>
      <c r="U99" s="3">
        <f>Dataset!J98</f>
        <v>79</v>
      </c>
      <c r="W99" s="3">
        <f>Dataset!G97</f>
        <v>3.4</v>
      </c>
      <c r="X99" s="3">
        <f>Dataset!Q97</f>
        <v>78.73</v>
      </c>
    </row>
    <row r="100" spans="20:24" x14ac:dyDescent="0.3">
      <c r="T100" s="3">
        <f>Dataset!F99</f>
        <v>93.7</v>
      </c>
      <c r="U100" s="3">
        <f>Dataset!J99</f>
        <v>67</v>
      </c>
      <c r="W100" s="3">
        <f>Dataset!G98</f>
        <v>3</v>
      </c>
      <c r="X100" s="3">
        <f>Dataset!Q98</f>
        <v>79.180000000000007</v>
      </c>
    </row>
    <row r="101" spans="20:24" x14ac:dyDescent="0.3">
      <c r="T101" s="3">
        <f>Dataset!F100</f>
        <v>75.900000000000006</v>
      </c>
      <c r="U101" s="3">
        <f>Dataset!J100</f>
        <v>74.8</v>
      </c>
      <c r="W101" s="3">
        <f>Dataset!G99</f>
        <v>2.9</v>
      </c>
      <c r="X101" s="3">
        <f>Dataset!Q99</f>
        <v>63.35</v>
      </c>
    </row>
    <row r="102" spans="20:24" x14ac:dyDescent="0.3">
      <c r="T102" s="3">
        <f>Dataset!F101</f>
        <v>61.9</v>
      </c>
      <c r="U102" s="3">
        <f>Dataset!J101</f>
        <v>63.3</v>
      </c>
      <c r="W102" s="3">
        <f>Dataset!G100</f>
        <v>1.3</v>
      </c>
      <c r="X102" s="3">
        <f>Dataset!Q100</f>
        <v>74.3</v>
      </c>
    </row>
    <row r="103" spans="20:24" x14ac:dyDescent="0.3">
      <c r="T103" s="3">
        <f>Dataset!F102</f>
        <v>91.5</v>
      </c>
      <c r="U103" s="3">
        <f>Dataset!J102</f>
        <v>71.400000000000006</v>
      </c>
      <c r="W103" s="3">
        <f>Dataset!G101</f>
        <v>2.6</v>
      </c>
      <c r="X103" s="3">
        <f>Dataset!Q101</f>
        <v>64.41</v>
      </c>
    </row>
    <row r="104" spans="20:24" x14ac:dyDescent="0.3">
      <c r="T104" s="3">
        <f>Dataset!F103</f>
        <v>74.400000000000006</v>
      </c>
      <c r="U104" s="3">
        <f>Dataset!J103</f>
        <v>80.599999999999994</v>
      </c>
      <c r="W104" s="3">
        <f>Dataset!G102</f>
        <v>2.9</v>
      </c>
      <c r="X104" s="3">
        <f>Dataset!Q102</f>
        <v>70.650000000000006</v>
      </c>
    </row>
    <row r="105" spans="20:24" x14ac:dyDescent="0.3">
      <c r="T105" s="3">
        <f>Dataset!F104</f>
        <v>67.8</v>
      </c>
      <c r="U105" s="3">
        <f>Dataset!J104</f>
        <v>79.8</v>
      </c>
      <c r="W105" s="3">
        <f>Dataset!G103</f>
        <v>6</v>
      </c>
      <c r="X105" s="3">
        <f>Dataset!Q103</f>
        <v>82.02</v>
      </c>
    </row>
    <row r="106" spans="20:24" x14ac:dyDescent="0.3">
      <c r="T106" s="3">
        <f>Dataset!F105</f>
        <v>82.1</v>
      </c>
      <c r="U106" s="3">
        <f>Dataset!J105</f>
        <v>67.3</v>
      </c>
      <c r="W106" s="3">
        <f>Dataset!G104</f>
        <v>4.5</v>
      </c>
      <c r="X106" s="3">
        <f>Dataset!Q104</f>
        <v>76.98</v>
      </c>
    </row>
    <row r="107" spans="20:24" x14ac:dyDescent="0.3">
      <c r="T107" s="3">
        <f>Dataset!F106</f>
        <v>79.8</v>
      </c>
      <c r="U107" s="3">
        <f>Dataset!J106</f>
        <v>75.2</v>
      </c>
      <c r="W107" s="3">
        <f>Dataset!G105</f>
        <v>3.3</v>
      </c>
      <c r="X107" s="3">
        <f>Dataset!Q105</f>
        <v>69.94</v>
      </c>
    </row>
    <row r="108" spans="20:24" x14ac:dyDescent="0.3">
      <c r="T108" s="3">
        <f>Dataset!F107</f>
        <v>89.4</v>
      </c>
      <c r="U108" s="3">
        <f>Dataset!J107</f>
        <v>82.1</v>
      </c>
      <c r="W108" s="3">
        <f>Dataset!G106</f>
        <v>9</v>
      </c>
      <c r="X108" s="3">
        <f>Dataset!Q106</f>
        <v>72.97</v>
      </c>
    </row>
    <row r="109" spans="20:24" x14ac:dyDescent="0.3">
      <c r="T109" s="3">
        <f>Dataset!F108</f>
        <v>90</v>
      </c>
      <c r="U109" s="3">
        <f>Dataset!J108</f>
        <v>70.599999999999994</v>
      </c>
      <c r="W109" s="3">
        <f>Dataset!G107</f>
        <v>3.6</v>
      </c>
      <c r="X109" s="3">
        <f>Dataset!Q107</f>
        <v>79.489999999999995</v>
      </c>
    </row>
    <row r="110" spans="20:24" x14ac:dyDescent="0.3">
      <c r="T110" s="3">
        <f>Dataset!F109</f>
        <v>82.9</v>
      </c>
      <c r="U110" s="3">
        <f>Dataset!J109</f>
        <v>97.1</v>
      </c>
      <c r="W110" s="3">
        <f>Dataset!G108</f>
        <v>6.9</v>
      </c>
      <c r="X110" s="3">
        <f>Dataset!Q108</f>
        <v>69.790000000000006</v>
      </c>
    </row>
    <row r="111" spans="20:24" x14ac:dyDescent="0.3">
      <c r="T111" s="3">
        <f>Dataset!F110</f>
        <v>74</v>
      </c>
      <c r="U111" s="3">
        <f>Dataset!J110</f>
        <v>71.599999999999994</v>
      </c>
      <c r="W111" s="3">
        <f>Dataset!G109</f>
        <v>7.7</v>
      </c>
      <c r="X111" s="3">
        <f>Dataset!Q109</f>
        <v>83.36</v>
      </c>
    </row>
    <row r="112" spans="20:24" x14ac:dyDescent="0.3">
      <c r="T112" s="3">
        <f>Dataset!F111</f>
        <v>84.6</v>
      </c>
      <c r="U112" s="3">
        <f>Dataset!J111</f>
        <v>74.8</v>
      </c>
      <c r="W112" s="3">
        <f>Dataset!G110</f>
        <v>2</v>
      </c>
      <c r="X112" s="3">
        <f>Dataset!Q110</f>
        <v>73.02</v>
      </c>
    </row>
    <row r="113" spans="20:24" x14ac:dyDescent="0.3">
      <c r="T113" s="3">
        <f>Dataset!F112</f>
        <v>83.5</v>
      </c>
      <c r="U113" s="3">
        <f>Dataset!J112</f>
        <v>70.5</v>
      </c>
      <c r="W113" s="3">
        <f>Dataset!G111</f>
        <v>4.9000000000000004</v>
      </c>
      <c r="X113" s="3">
        <f>Dataset!Q111</f>
        <v>70.12</v>
      </c>
    </row>
    <row r="114" spans="20:24" x14ac:dyDescent="0.3">
      <c r="T114" s="3">
        <f>Dataset!F113</f>
        <v>87.1</v>
      </c>
      <c r="U114" s="3">
        <f>Dataset!J113</f>
        <v>67.2</v>
      </c>
      <c r="W114" s="3">
        <f>Dataset!G112</f>
        <v>3.9</v>
      </c>
      <c r="X114" s="3">
        <f>Dataset!Q112</f>
        <v>72.23</v>
      </c>
    </row>
    <row r="115" spans="20:24" x14ac:dyDescent="0.3">
      <c r="T115" s="3">
        <f>Dataset!F114</f>
        <v>74.099999999999994</v>
      </c>
      <c r="U115" s="3">
        <f>Dataset!J114</f>
        <v>64.7</v>
      </c>
      <c r="W115" s="3">
        <f>Dataset!G113</f>
        <v>3.7</v>
      </c>
      <c r="X115" s="3">
        <f>Dataset!Q113</f>
        <v>65.56</v>
      </c>
    </row>
    <row r="116" spans="20:24" x14ac:dyDescent="0.3">
      <c r="T116" s="3">
        <f>Dataset!F115</f>
        <v>78.400000000000006</v>
      </c>
      <c r="U116" s="3">
        <f>Dataset!J115</f>
        <v>73.099999999999994</v>
      </c>
      <c r="W116" s="3">
        <f>Dataset!G114</f>
        <v>5.8</v>
      </c>
      <c r="X116" s="3">
        <f>Dataset!Q114</f>
        <v>62.36</v>
      </c>
    </row>
    <row r="117" spans="20:24" x14ac:dyDescent="0.3">
      <c r="T117" s="3">
        <f>Dataset!F116</f>
        <v>86.6</v>
      </c>
      <c r="U117" s="3">
        <f>Dataset!J116</f>
        <v>83.5</v>
      </c>
      <c r="W117" s="3">
        <f>Dataset!G115</f>
        <v>3.7</v>
      </c>
      <c r="X117" s="3">
        <f>Dataset!Q115</f>
        <v>74.489999999999995</v>
      </c>
    </row>
    <row r="118" spans="20:24" x14ac:dyDescent="0.3">
      <c r="T118" s="3">
        <f>Dataset!F117</f>
        <v>93.2</v>
      </c>
      <c r="U118" s="3">
        <f>Dataset!J117</f>
        <v>89.9</v>
      </c>
      <c r="W118" s="3">
        <f>Dataset!G116</f>
        <v>3.9</v>
      </c>
      <c r="X118" s="3">
        <f>Dataset!Q116</f>
        <v>80.150000000000006</v>
      </c>
    </row>
    <row r="119" spans="20:24" x14ac:dyDescent="0.3">
      <c r="T119" s="3">
        <f>Dataset!F118</f>
        <v>90.7</v>
      </c>
      <c r="U119" s="3">
        <f>Dataset!J118</f>
        <v>76.400000000000006</v>
      </c>
      <c r="W119" s="3">
        <f>Dataset!G117</f>
        <v>4.5</v>
      </c>
      <c r="X119" s="3">
        <f>Dataset!Q117</f>
        <v>91.31</v>
      </c>
    </row>
    <row r="120" spans="20:24" x14ac:dyDescent="0.3">
      <c r="T120" s="3">
        <f>Dataset!F119</f>
        <v>82.7</v>
      </c>
      <c r="U120" s="3">
        <f>Dataset!J119</f>
        <v>90.7</v>
      </c>
      <c r="W120" s="3">
        <f>Dataset!G118</f>
        <v>4.0999999999999996</v>
      </c>
      <c r="X120" s="3">
        <f>Dataset!Q118</f>
        <v>69.08</v>
      </c>
    </row>
    <row r="121" spans="20:24" x14ac:dyDescent="0.3">
      <c r="T121" s="3">
        <f>Dataset!F120</f>
        <v>77.599999999999994</v>
      </c>
      <c r="U121" s="3">
        <f>Dataset!J120</f>
        <v>76.900000000000006</v>
      </c>
      <c r="W121" s="3">
        <f>Dataset!G119</f>
        <v>2.7</v>
      </c>
      <c r="X121" s="3">
        <f>Dataset!Q119</f>
        <v>81.3</v>
      </c>
    </row>
    <row r="122" spans="20:24" x14ac:dyDescent="0.3">
      <c r="T122" s="3">
        <f>Dataset!F121</f>
        <v>85.6</v>
      </c>
      <c r="U122" s="3">
        <f>Dataset!J121</f>
        <v>90.7</v>
      </c>
      <c r="W122" s="3">
        <f>Dataset!G120</f>
        <v>6.2</v>
      </c>
      <c r="X122" s="3">
        <f>Dataset!Q120</f>
        <v>75.069999999999993</v>
      </c>
    </row>
    <row r="123" spans="20:24" x14ac:dyDescent="0.3">
      <c r="T123" s="3">
        <f>Dataset!F122</f>
        <v>72.2</v>
      </c>
      <c r="U123" s="3">
        <f>Dataset!J122</f>
        <v>75.7</v>
      </c>
      <c r="W123" s="3">
        <f>Dataset!G121</f>
        <v>6.7</v>
      </c>
      <c r="X123" s="3">
        <f>Dataset!Q121</f>
        <v>87.5</v>
      </c>
    </row>
    <row r="124" spans="20:24" x14ac:dyDescent="0.3">
      <c r="T124" s="3">
        <f>Dataset!F123</f>
        <v>74.599999999999994</v>
      </c>
      <c r="U124" s="3">
        <f>Dataset!J123</f>
        <v>83.3</v>
      </c>
      <c r="W124" s="3">
        <f>Dataset!G122</f>
        <v>5.4</v>
      </c>
      <c r="X124" s="3">
        <f>Dataset!Q122</f>
        <v>72.180000000000007</v>
      </c>
    </row>
    <row r="125" spans="20:24" x14ac:dyDescent="0.3">
      <c r="T125" s="3">
        <f>Dataset!F124</f>
        <v>95.6</v>
      </c>
      <c r="U125" s="3">
        <f>Dataset!J124</f>
        <v>77.7</v>
      </c>
      <c r="W125" s="3">
        <f>Dataset!G123</f>
        <v>4.0999999999999996</v>
      </c>
      <c r="X125" s="3">
        <f>Dataset!Q123</f>
        <v>76.349999999999994</v>
      </c>
    </row>
    <row r="126" spans="20:24" x14ac:dyDescent="0.3">
      <c r="T126" s="3">
        <f>Dataset!F125</f>
        <v>85.6</v>
      </c>
      <c r="U126" s="3">
        <f>Dataset!J125</f>
        <v>73.7</v>
      </c>
      <c r="W126" s="3">
        <f>Dataset!G124</f>
        <v>3.5</v>
      </c>
      <c r="X126" s="3">
        <f>Dataset!Q124</f>
        <v>75.260000000000005</v>
      </c>
    </row>
    <row r="127" spans="20:24" x14ac:dyDescent="0.3">
      <c r="T127" s="3">
        <f>Dataset!F126</f>
        <v>78.900000000000006</v>
      </c>
      <c r="U127" s="3">
        <f>Dataset!J126</f>
        <v>79</v>
      </c>
      <c r="W127" s="3">
        <f>Dataset!G125</f>
        <v>3.5</v>
      </c>
      <c r="X127" s="3">
        <f>Dataset!Q125</f>
        <v>77.13</v>
      </c>
    </row>
    <row r="128" spans="20:24" x14ac:dyDescent="0.3">
      <c r="T128" s="3">
        <f>Dataset!F127</f>
        <v>89.5</v>
      </c>
      <c r="U128" s="3">
        <f>Dataset!J127</f>
        <v>88</v>
      </c>
      <c r="W128" s="3">
        <f>Dataset!G126</f>
        <v>9</v>
      </c>
      <c r="X128" s="3">
        <f>Dataset!Q126</f>
        <v>77.73</v>
      </c>
    </row>
    <row r="129" spans="20:24" x14ac:dyDescent="0.3">
      <c r="T129" s="3">
        <f>Dataset!F128</f>
        <v>93.6</v>
      </c>
      <c r="U129" s="3">
        <f>Dataset!J128</f>
        <v>70.400000000000006</v>
      </c>
      <c r="W129" s="3">
        <f>Dataset!G127</f>
        <v>6.5</v>
      </c>
      <c r="X129" s="3">
        <f>Dataset!Q127</f>
        <v>85.05</v>
      </c>
    </row>
    <row r="130" spans="20:24" x14ac:dyDescent="0.3">
      <c r="T130" s="3">
        <f>Dataset!F130</f>
        <v>78.2</v>
      </c>
      <c r="U130" s="3">
        <f>Dataset!J130</f>
        <v>86.1</v>
      </c>
      <c r="W130" s="3">
        <f>Dataset!G128</f>
        <v>3.3</v>
      </c>
      <c r="X130" s="3">
        <f>Dataset!Q128</f>
        <v>69.44</v>
      </c>
    </row>
    <row r="131" spans="20:24" x14ac:dyDescent="0.3">
      <c r="T131" s="3">
        <f>Dataset!F131</f>
        <v>77</v>
      </c>
      <c r="U131" s="3">
        <f>Dataset!J131</f>
        <v>69.099999999999994</v>
      </c>
      <c r="W131" s="3">
        <f>Dataset!G129</f>
        <v>5.0999999999999996</v>
      </c>
      <c r="X131" s="3">
        <f>Dataset!Q129</f>
        <v>83.91</v>
      </c>
    </row>
    <row r="132" spans="20:24" x14ac:dyDescent="0.3">
      <c r="T132" s="3">
        <f>Dataset!F132</f>
        <v>90.7</v>
      </c>
      <c r="U132" s="3">
        <f>Dataset!J132</f>
        <v>85.1</v>
      </c>
      <c r="W132" s="3">
        <f>Dataset!G130</f>
        <v>4.0999999999999996</v>
      </c>
      <c r="X132" s="3">
        <f>Dataset!Q130</f>
        <v>78.92</v>
      </c>
    </row>
    <row r="133" spans="20:24" x14ac:dyDescent="0.3">
      <c r="T133" s="3">
        <f>Dataset!F133</f>
        <v>90.8</v>
      </c>
      <c r="U133" s="3">
        <f>Dataset!J133</f>
        <v>78.099999999999994</v>
      </c>
      <c r="W133" s="3">
        <f>Dataset!G131</f>
        <v>5.9</v>
      </c>
      <c r="X133" s="3">
        <f>Dataset!Q131</f>
        <v>69.59</v>
      </c>
    </row>
    <row r="134" spans="20:24" x14ac:dyDescent="0.3">
      <c r="T134" s="3">
        <f>Dataset!F134</f>
        <v>94.5</v>
      </c>
      <c r="U134" s="3">
        <f>Dataset!J134</f>
        <v>89.1</v>
      </c>
      <c r="W134" s="3">
        <f>Dataset!G132</f>
        <v>5.8</v>
      </c>
      <c r="X134" s="3">
        <f>Dataset!Q132</f>
        <v>85.78</v>
      </c>
    </row>
    <row r="135" spans="20:24" x14ac:dyDescent="0.3">
      <c r="T135" s="3">
        <f>Dataset!F135</f>
        <v>91.1</v>
      </c>
      <c r="U135" s="3">
        <f>Dataset!J135</f>
        <v>70</v>
      </c>
      <c r="W135" s="3">
        <f>Dataset!G133</f>
        <v>6.8</v>
      </c>
      <c r="X135" s="3">
        <f>Dataset!Q133</f>
        <v>72.069999999999993</v>
      </c>
    </row>
    <row r="136" spans="20:24" x14ac:dyDescent="0.3">
      <c r="T136" s="3">
        <f>Dataset!F136</f>
        <v>67.3</v>
      </c>
      <c r="U136" s="3">
        <f>Dataset!J136</f>
        <v>57.4</v>
      </c>
      <c r="W136" s="3">
        <f>Dataset!G134</f>
        <v>3.3</v>
      </c>
      <c r="X136" s="3">
        <f>Dataset!Q134</f>
        <v>83.22</v>
      </c>
    </row>
    <row r="137" spans="20:24" x14ac:dyDescent="0.3">
      <c r="T137" s="3">
        <f>Dataset!F137</f>
        <v>84.5</v>
      </c>
      <c r="U137" s="3">
        <f>Dataset!J137</f>
        <v>78.7</v>
      </c>
      <c r="W137" s="3">
        <f>Dataset!G135</f>
        <v>5</v>
      </c>
      <c r="X137" s="3">
        <f>Dataset!Q135</f>
        <v>64.709999999999994</v>
      </c>
    </row>
    <row r="138" spans="20:24" x14ac:dyDescent="0.3">
      <c r="T138" s="3">
        <f>Dataset!F138</f>
        <v>72.5</v>
      </c>
      <c r="U138" s="3">
        <f>Dataset!J138</f>
        <v>65.099999999999994</v>
      </c>
      <c r="W138" s="3">
        <f>Dataset!G136</f>
        <v>1.7</v>
      </c>
      <c r="X138" s="3">
        <f>Dataset!Q136</f>
        <v>61.25</v>
      </c>
    </row>
    <row r="139" spans="20:24" x14ac:dyDescent="0.3">
      <c r="T139" s="3">
        <f>Dataset!F139</f>
        <v>77.400000000000006</v>
      </c>
      <c r="U139" s="3">
        <f>Dataset!J139</f>
        <v>90.9</v>
      </c>
      <c r="W139" s="3">
        <f>Dataset!G137</f>
        <v>2.5</v>
      </c>
      <c r="X139" s="3">
        <f>Dataset!Q137</f>
        <v>80.83</v>
      </c>
    </row>
    <row r="140" spans="20:24" x14ac:dyDescent="0.3">
      <c r="T140" s="3">
        <f>Dataset!F140</f>
        <v>83.5</v>
      </c>
      <c r="U140" s="3">
        <f>Dataset!J140</f>
        <v>60.8</v>
      </c>
      <c r="W140" s="3">
        <f>Dataset!G138</f>
        <v>6.4</v>
      </c>
      <c r="X140" s="3">
        <f>Dataset!Q138</f>
        <v>63.63</v>
      </c>
    </row>
    <row r="141" spans="20:24" x14ac:dyDescent="0.3">
      <c r="T141" s="3">
        <f>Dataset!F141</f>
        <v>89.5</v>
      </c>
      <c r="U141" s="3">
        <f>Dataset!J141</f>
        <v>75.3</v>
      </c>
      <c r="W141" s="3">
        <f>Dataset!G139</f>
        <v>3.1</v>
      </c>
      <c r="X141" s="3">
        <f>Dataset!Q139</f>
        <v>91.45</v>
      </c>
    </row>
    <row r="142" spans="20:24" x14ac:dyDescent="0.3">
      <c r="T142" s="3">
        <f>Dataset!F142</f>
        <v>74</v>
      </c>
      <c r="U142" s="3">
        <f>Dataset!J142</f>
        <v>94.6</v>
      </c>
      <c r="W142" s="3">
        <f>Dataset!G140</f>
        <v>3.3</v>
      </c>
      <c r="X142" s="3">
        <f>Dataset!Q140</f>
        <v>61.03</v>
      </c>
    </row>
    <row r="143" spans="20:24" x14ac:dyDescent="0.3">
      <c r="T143" s="3">
        <f>Dataset!F143</f>
        <v>61.1</v>
      </c>
      <c r="U143" s="3">
        <f>Dataset!J143</f>
        <v>60</v>
      </c>
      <c r="W143" s="3">
        <f>Dataset!G142</f>
        <v>6.1</v>
      </c>
      <c r="X143" s="3">
        <f>Dataset!Q142</f>
        <v>89.54</v>
      </c>
    </row>
    <row r="144" spans="20:24" x14ac:dyDescent="0.3">
      <c r="T144" s="3">
        <f>Dataset!F144</f>
        <v>83.6</v>
      </c>
      <c r="U144" s="3">
        <f>Dataset!J144</f>
        <v>42</v>
      </c>
      <c r="W144" s="3">
        <f>Dataset!G143</f>
        <v>2.9</v>
      </c>
      <c r="X144" s="3">
        <f>Dataset!Q143</f>
        <v>64.33</v>
      </c>
    </row>
    <row r="145" spans="20:24" x14ac:dyDescent="0.3">
      <c r="T145" s="3">
        <f>Dataset!F145</f>
        <v>100</v>
      </c>
      <c r="U145" s="3">
        <f>Dataset!J145</f>
        <v>77.8</v>
      </c>
      <c r="W145" s="3">
        <f>Dataset!G144</f>
        <v>1</v>
      </c>
      <c r="X145" s="3">
        <f>Dataset!Q144</f>
        <v>45.34</v>
      </c>
    </row>
    <row r="146" spans="20:24" x14ac:dyDescent="0.3">
      <c r="T146" s="3">
        <f>Dataset!F147</f>
        <v>82.4</v>
      </c>
      <c r="U146" s="3">
        <f>Dataset!J147</f>
        <v>73.2</v>
      </c>
      <c r="W146" s="3">
        <f>Dataset!G145</f>
        <v>3.2</v>
      </c>
      <c r="X146" s="3">
        <f>Dataset!Q145</f>
        <v>75.58</v>
      </c>
    </row>
    <row r="147" spans="20:24" x14ac:dyDescent="0.3">
      <c r="T147" s="3">
        <f>Dataset!F148</f>
        <v>98</v>
      </c>
      <c r="U147" s="3">
        <f>Dataset!J148</f>
        <v>86.9</v>
      </c>
      <c r="W147" s="3">
        <f>Dataset!G146</f>
        <v>7</v>
      </c>
      <c r="X147" s="3">
        <f>Dataset!Q146</f>
        <v>65.25</v>
      </c>
    </row>
    <row r="148" spans="20:24" x14ac:dyDescent="0.3">
      <c r="T148" s="3">
        <f>Dataset!F149</f>
        <v>87.3</v>
      </c>
      <c r="U148" s="3">
        <f>Dataset!J149</f>
        <v>76.5</v>
      </c>
      <c r="W148" s="3">
        <f>Dataset!G147</f>
        <v>5.4</v>
      </c>
      <c r="X148" s="3">
        <f>Dataset!Q147</f>
        <v>68.069999999999993</v>
      </c>
    </row>
    <row r="149" spans="20:24" x14ac:dyDescent="0.3">
      <c r="T149" s="3">
        <f>Dataset!F150</f>
        <v>84</v>
      </c>
      <c r="U149" s="3">
        <f>Dataset!J150</f>
        <v>81.8</v>
      </c>
      <c r="W149" s="3">
        <f>Dataset!G148</f>
        <v>7.2</v>
      </c>
      <c r="X149" s="3">
        <f>Dataset!Q148</f>
        <v>79.45</v>
      </c>
    </row>
    <row r="150" spans="20:24" x14ac:dyDescent="0.3">
      <c r="T150" s="3">
        <f>Dataset!F151</f>
        <v>86</v>
      </c>
      <c r="U150" s="3">
        <f>Dataset!J151</f>
        <v>66.8</v>
      </c>
      <c r="W150" s="3">
        <f>Dataset!G149</f>
        <v>2.8</v>
      </c>
      <c r="X150" s="3">
        <f>Dataset!Q149</f>
        <v>76.7</v>
      </c>
    </row>
    <row r="151" spans="20:24" x14ac:dyDescent="0.3">
      <c r="T151" s="3">
        <f>Dataset!F152</f>
        <v>84.3</v>
      </c>
      <c r="U151" s="3">
        <f>Dataset!J152</f>
        <v>70.3</v>
      </c>
      <c r="W151" s="3">
        <f>Dataset!G150</f>
        <v>1.8</v>
      </c>
      <c r="X151" s="3">
        <f>Dataset!Q150</f>
        <v>85.12</v>
      </c>
    </row>
    <row r="152" spans="20:24" x14ac:dyDescent="0.3">
      <c r="T152" s="3">
        <f>Dataset!F153</f>
        <v>71.7</v>
      </c>
      <c r="U152" s="3">
        <f>Dataset!J153</f>
        <v>84.6</v>
      </c>
      <c r="W152" s="3">
        <f>Dataset!G151</f>
        <v>5.6</v>
      </c>
      <c r="X152" s="3">
        <f>Dataset!Q151</f>
        <v>64.83</v>
      </c>
    </row>
    <row r="153" spans="20:24" x14ac:dyDescent="0.3">
      <c r="T153" s="3">
        <f>Dataset!F154</f>
        <v>69.900000000000006</v>
      </c>
      <c r="U153" s="3">
        <f>Dataset!J154</f>
        <v>72.900000000000006</v>
      </c>
      <c r="W153" s="3">
        <f>Dataset!G152</f>
        <v>5.2</v>
      </c>
      <c r="X153" s="3">
        <f>Dataset!Q152</f>
        <v>66.11</v>
      </c>
    </row>
    <row r="154" spans="20:24" x14ac:dyDescent="0.3">
      <c r="T154" s="3">
        <f>Dataset!F155</f>
        <v>99</v>
      </c>
      <c r="U154" s="3">
        <f>Dataset!J155</f>
        <v>89.3</v>
      </c>
      <c r="W154" s="3">
        <f>Dataset!G153</f>
        <v>5.3</v>
      </c>
      <c r="X154" s="3">
        <f>Dataset!Q153</f>
        <v>81.13</v>
      </c>
    </row>
    <row r="155" spans="20:24" x14ac:dyDescent="0.3">
      <c r="T155" s="3">
        <f>Dataset!F156</f>
        <v>83.7</v>
      </c>
      <c r="U155" s="3">
        <f>Dataset!J156</f>
        <v>89.8</v>
      </c>
      <c r="W155" s="3">
        <f>Dataset!G154</f>
        <v>6.5</v>
      </c>
      <c r="X155" s="3">
        <f>Dataset!Q154</f>
        <v>74.349999999999994</v>
      </c>
    </row>
    <row r="156" spans="20:24" x14ac:dyDescent="0.3">
      <c r="T156" s="3">
        <f>Dataset!F157</f>
        <v>82.9</v>
      </c>
      <c r="U156" s="3">
        <f>Dataset!J157</f>
        <v>88.3</v>
      </c>
      <c r="W156" s="3">
        <f>Dataset!G155</f>
        <v>5.6</v>
      </c>
      <c r="X156" s="3">
        <f>Dataset!Q155</f>
        <v>86.24</v>
      </c>
    </row>
    <row r="157" spans="20:24" x14ac:dyDescent="0.3">
      <c r="T157" s="3">
        <f>Dataset!F158</f>
        <v>81.2</v>
      </c>
      <c r="U157" s="3">
        <f>Dataset!J158</f>
        <v>93.4</v>
      </c>
      <c r="W157" s="3">
        <f>Dataset!G156</f>
        <v>5.5</v>
      </c>
      <c r="X157" s="3">
        <f>Dataset!Q156</f>
        <v>83.23</v>
      </c>
    </row>
    <row r="158" spans="20:24" x14ac:dyDescent="0.3">
      <c r="T158" s="3">
        <f>Dataset!F159</f>
        <v>89</v>
      </c>
      <c r="U158" s="3">
        <f>Dataset!J159</f>
        <v>84.7</v>
      </c>
      <c r="W158" s="3">
        <f>Dataset!G157</f>
        <v>6.1</v>
      </c>
      <c r="X158" s="3">
        <f>Dataset!Q157</f>
        <v>83.63</v>
      </c>
    </row>
    <row r="159" spans="20:24" x14ac:dyDescent="0.3">
      <c r="T159" s="3">
        <f>Dataset!F160</f>
        <v>100</v>
      </c>
      <c r="U159" s="3">
        <f>Dataset!J160</f>
        <v>70.099999999999994</v>
      </c>
      <c r="W159" s="3">
        <f>Dataset!G158</f>
        <v>5.7</v>
      </c>
      <c r="X159" s="3">
        <f>Dataset!Q158</f>
        <v>87.39</v>
      </c>
    </row>
    <row r="160" spans="20:24" x14ac:dyDescent="0.3">
      <c r="T160" s="3">
        <f>Dataset!F161</f>
        <v>86.7</v>
      </c>
      <c r="U160" s="3">
        <f>Dataset!J161</f>
        <v>88.5</v>
      </c>
      <c r="W160" s="3">
        <f>Dataset!G159</f>
        <v>6.3</v>
      </c>
      <c r="X160" s="3">
        <f>Dataset!Q159</f>
        <v>83.99</v>
      </c>
    </row>
    <row r="161" spans="20:24" x14ac:dyDescent="0.3">
      <c r="T161" s="3">
        <f>Dataset!F162</f>
        <v>76.7</v>
      </c>
      <c r="U161" s="3">
        <f>Dataset!J162</f>
        <v>73.2</v>
      </c>
      <c r="W161" s="3">
        <f>Dataset!G160</f>
        <v>6.6</v>
      </c>
      <c r="X161" s="3">
        <f>Dataset!Q160</f>
        <v>71.03</v>
      </c>
    </row>
    <row r="162" spans="20:24" x14ac:dyDescent="0.3">
      <c r="T162" s="3">
        <f>Dataset!F163</f>
        <v>80.8</v>
      </c>
      <c r="U162" s="3">
        <f>Dataset!J163</f>
        <v>88.1</v>
      </c>
      <c r="W162" s="3">
        <f>Dataset!G161</f>
        <v>7.6</v>
      </c>
      <c r="X162" s="3">
        <f>Dataset!Q161</f>
        <v>83.43</v>
      </c>
    </row>
    <row r="163" spans="20:24" x14ac:dyDescent="0.3">
      <c r="T163" s="3">
        <f>Dataset!F164</f>
        <v>91.6</v>
      </c>
      <c r="U163" s="3">
        <f>Dataset!J164</f>
        <v>87.2</v>
      </c>
      <c r="W163" s="3">
        <f>Dataset!G162</f>
        <v>3.6</v>
      </c>
      <c r="X163" s="3">
        <f>Dataset!Q162</f>
        <v>71.75</v>
      </c>
    </row>
    <row r="164" spans="20:24" x14ac:dyDescent="0.3">
      <c r="T164" s="3">
        <f>Dataset!F165</f>
        <v>76.8</v>
      </c>
      <c r="U164" s="3">
        <f>Dataset!J165</f>
        <v>84.6</v>
      </c>
      <c r="W164" s="3">
        <f>Dataset!G163</f>
        <v>5.7</v>
      </c>
      <c r="X164" s="3">
        <f>Dataset!Q163</f>
        <v>80.44</v>
      </c>
    </row>
    <row r="165" spans="20:24" x14ac:dyDescent="0.3">
      <c r="T165" s="3">
        <f>Dataset!F166</f>
        <v>89.7</v>
      </c>
      <c r="U165" s="3">
        <f>Dataset!J166</f>
        <v>76.3</v>
      </c>
      <c r="W165" s="3">
        <f>Dataset!G164</f>
        <v>4.0999999999999996</v>
      </c>
      <c r="X165" s="3">
        <f>Dataset!Q164</f>
        <v>81.08</v>
      </c>
    </row>
    <row r="166" spans="20:24" x14ac:dyDescent="0.3">
      <c r="T166" s="3">
        <f>Dataset!F167</f>
        <v>61.1</v>
      </c>
      <c r="U166" s="3">
        <f>Dataset!J167</f>
        <v>68.900000000000006</v>
      </c>
      <c r="W166" s="3">
        <f>Dataset!G165</f>
        <v>3.3</v>
      </c>
      <c r="X166" s="3">
        <f>Dataset!Q165</f>
        <v>83.65</v>
      </c>
    </row>
    <row r="167" spans="20:24" x14ac:dyDescent="0.3">
      <c r="T167" s="3">
        <f>Dataset!F168</f>
        <v>79.900000000000006</v>
      </c>
      <c r="U167" s="3">
        <f>Dataset!J168</f>
        <v>68.7</v>
      </c>
      <c r="W167" s="3">
        <f>Dataset!G166</f>
        <v>3.6</v>
      </c>
      <c r="X167" s="3">
        <f>Dataset!Q166</f>
        <v>70.67</v>
      </c>
    </row>
    <row r="168" spans="20:24" x14ac:dyDescent="0.3">
      <c r="T168" s="3">
        <f>Dataset!F169</f>
        <v>87.7</v>
      </c>
      <c r="U168" s="3">
        <f>Dataset!J169</f>
        <v>82.9</v>
      </c>
      <c r="W168" s="3">
        <f>Dataset!G167</f>
        <v>5.7</v>
      </c>
      <c r="X168" s="3">
        <f>Dataset!Q167</f>
        <v>67.36</v>
      </c>
    </row>
    <row r="169" spans="20:24" x14ac:dyDescent="0.3">
      <c r="T169" s="3">
        <f>Dataset!F170</f>
        <v>93.4</v>
      </c>
      <c r="U169" s="3">
        <f>Dataset!J170</f>
        <v>75.7</v>
      </c>
      <c r="W169" s="3">
        <f>Dataset!G168</f>
        <v>5.6</v>
      </c>
      <c r="X169" s="3">
        <f>Dataset!Q168</f>
        <v>69.84</v>
      </c>
    </row>
    <row r="170" spans="20:24" x14ac:dyDescent="0.3">
      <c r="T170" s="3">
        <f>Dataset!F171</f>
        <v>74.599999999999994</v>
      </c>
      <c r="U170" s="3">
        <f>Dataset!J171</f>
        <v>87.7</v>
      </c>
      <c r="W170" s="3">
        <f>Dataset!G169</f>
        <v>5.5</v>
      </c>
      <c r="X170" s="3">
        <f>Dataset!Q169</f>
        <v>80.37</v>
      </c>
    </row>
    <row r="171" spans="20:24" x14ac:dyDescent="0.3">
      <c r="T171" s="3">
        <f>Dataset!F172</f>
        <v>68.5</v>
      </c>
      <c r="U171" s="3">
        <f>Dataset!J172</f>
        <v>73.2</v>
      </c>
      <c r="W171" s="3">
        <f>Dataset!G170</f>
        <v>4.4000000000000004</v>
      </c>
      <c r="X171" s="3">
        <f>Dataset!Q170</f>
        <v>67.25</v>
      </c>
    </row>
    <row r="172" spans="20:24" x14ac:dyDescent="0.3">
      <c r="T172" s="3">
        <f>Dataset!F173</f>
        <v>79.7</v>
      </c>
      <c r="U172" s="3">
        <f>Dataset!J173</f>
        <v>58.2</v>
      </c>
      <c r="W172" s="3">
        <f>Dataset!G171</f>
        <v>4.8</v>
      </c>
      <c r="X172" s="3">
        <f>Dataset!Q171</f>
        <v>85.33</v>
      </c>
    </row>
    <row r="173" spans="20:24" x14ac:dyDescent="0.3">
      <c r="T173" s="3">
        <f>Dataset!F174</f>
        <v>71.900000000000006</v>
      </c>
      <c r="U173" s="3">
        <f>Dataset!J174</f>
        <v>78.3</v>
      </c>
      <c r="W173" s="3">
        <f>Dataset!G172</f>
        <v>6.3</v>
      </c>
      <c r="X173" s="3">
        <f>Dataset!Q172</f>
        <v>65.930000000000007</v>
      </c>
    </row>
    <row r="174" spans="20:24" x14ac:dyDescent="0.3">
      <c r="T174" s="3">
        <f>Dataset!F175</f>
        <v>80.7</v>
      </c>
      <c r="U174" s="3">
        <f>Dataset!J175</f>
        <v>85.9</v>
      </c>
      <c r="W174" s="3">
        <f>Dataset!G173</f>
        <v>2.1</v>
      </c>
      <c r="X174" s="3">
        <f>Dataset!Q173</f>
        <v>58.76</v>
      </c>
    </row>
    <row r="175" spans="20:24" x14ac:dyDescent="0.3">
      <c r="T175" s="3">
        <f>Dataset!F176</f>
        <v>81.900000000000006</v>
      </c>
      <c r="U175" s="3">
        <f>Dataset!J176</f>
        <v>77.099999999999994</v>
      </c>
      <c r="W175" s="3">
        <f>Dataset!G174</f>
        <v>4.8</v>
      </c>
      <c r="X175" s="3">
        <f>Dataset!Q174</f>
        <v>79.239999999999995</v>
      </c>
    </row>
    <row r="176" spans="20:24" x14ac:dyDescent="0.3">
      <c r="T176" s="3">
        <f>Dataset!F177</f>
        <v>70.099999999999994</v>
      </c>
      <c r="U176" s="3">
        <f>Dataset!J177</f>
        <v>68.8</v>
      </c>
      <c r="W176" s="3">
        <f>Dataset!G175</f>
        <v>5</v>
      </c>
      <c r="X176" s="3">
        <f>Dataset!Q175</f>
        <v>82.79</v>
      </c>
    </row>
    <row r="177" spans="20:24" x14ac:dyDescent="0.3">
      <c r="T177" s="3">
        <f>Dataset!F178</f>
        <v>89.2</v>
      </c>
      <c r="U177" s="3">
        <f>Dataset!J178</f>
        <v>80.8</v>
      </c>
      <c r="W177" s="3">
        <f>Dataset!G176</f>
        <v>6.2</v>
      </c>
      <c r="X177" s="3">
        <f>Dataset!Q176</f>
        <v>76.3</v>
      </c>
    </row>
    <row r="178" spans="20:24" x14ac:dyDescent="0.3">
      <c r="T178" s="3">
        <f>Dataset!F179</f>
        <v>80.599999999999994</v>
      </c>
      <c r="U178" s="3">
        <f>Dataset!J179</f>
        <v>76.599999999999994</v>
      </c>
      <c r="W178" s="3">
        <f>Dataset!G177</f>
        <v>2.4</v>
      </c>
      <c r="X178" s="3">
        <f>Dataset!Q177</f>
        <v>73.349999999999994</v>
      </c>
    </row>
    <row r="179" spans="20:24" x14ac:dyDescent="0.3">
      <c r="T179" s="3">
        <f>Dataset!F180</f>
        <v>91.7</v>
      </c>
      <c r="U179" s="3">
        <f>Dataset!J180</f>
        <v>74.2</v>
      </c>
      <c r="W179" s="3">
        <f>Dataset!G178</f>
        <v>7.5</v>
      </c>
      <c r="X179" s="3">
        <f>Dataset!Q178</f>
        <v>72.56</v>
      </c>
    </row>
    <row r="180" spans="20:24" x14ac:dyDescent="0.3">
      <c r="T180" s="3">
        <f>Dataset!F181</f>
        <v>65.400000000000006</v>
      </c>
      <c r="U180" s="3">
        <f>Dataset!J181</f>
        <v>73.7</v>
      </c>
      <c r="W180" s="3">
        <f>Dataset!G179</f>
        <v>5.2</v>
      </c>
      <c r="X180" s="3">
        <f>Dataset!Q179</f>
        <v>70.349999999999994</v>
      </c>
    </row>
    <row r="181" spans="20:24" x14ac:dyDescent="0.3">
      <c r="T181" s="3">
        <f>Dataset!F182</f>
        <v>72.8</v>
      </c>
      <c r="U181" s="3">
        <f>Dataset!J182</f>
        <v>74.8</v>
      </c>
      <c r="W181" s="3">
        <f>Dataset!G180</f>
        <v>5.3</v>
      </c>
      <c r="X181" s="3">
        <f>Dataset!Q180</f>
        <v>70.790000000000006</v>
      </c>
    </row>
    <row r="182" spans="20:24" x14ac:dyDescent="0.3">
      <c r="T182" s="3">
        <f>Dataset!F183</f>
        <v>86.7</v>
      </c>
      <c r="U182" s="3">
        <f>Dataset!J183</f>
        <v>88.2</v>
      </c>
      <c r="W182" s="3">
        <f>Dataset!G182</f>
        <v>5.8</v>
      </c>
      <c r="X182" s="3">
        <f>Dataset!Q182</f>
        <v>75.569999999999993</v>
      </c>
    </row>
    <row r="183" spans="20:24" x14ac:dyDescent="0.3">
      <c r="T183" s="3">
        <f>Dataset!F184</f>
        <v>74.8</v>
      </c>
      <c r="U183" s="3">
        <f>Dataset!J184</f>
        <v>70.099999999999994</v>
      </c>
      <c r="W183" s="3">
        <f>Dataset!G183</f>
        <v>4.9000000000000004</v>
      </c>
      <c r="X183" s="3">
        <f>Dataset!Q183</f>
        <v>86.36</v>
      </c>
    </row>
    <row r="184" spans="20:24" x14ac:dyDescent="0.3">
      <c r="T184" s="3">
        <f>Dataset!F185</f>
        <v>80.5</v>
      </c>
      <c r="U184" s="3">
        <f>Dataset!J185</f>
        <v>65.5</v>
      </c>
      <c r="W184" s="3">
        <f>Dataset!G184</f>
        <v>7</v>
      </c>
      <c r="X184" s="3">
        <f>Dataset!Q184</f>
        <v>63.6</v>
      </c>
    </row>
    <row r="185" spans="20:24" x14ac:dyDescent="0.3">
      <c r="T185" s="3">
        <f>Dataset!F186</f>
        <v>82</v>
      </c>
      <c r="U185" s="3">
        <f>Dataset!J186</f>
        <v>88.1</v>
      </c>
      <c r="W185" s="3">
        <f>Dataset!G185</f>
        <v>2.2000000000000002</v>
      </c>
      <c r="X185" s="3">
        <f>Dataset!Q185</f>
        <v>63.47</v>
      </c>
    </row>
    <row r="186" spans="20:24" x14ac:dyDescent="0.3">
      <c r="T186" s="3">
        <f>Dataset!F187</f>
        <v>83.4</v>
      </c>
      <c r="U186" s="3">
        <f>Dataset!J187</f>
        <v>67.3</v>
      </c>
      <c r="W186" s="3">
        <f>Dataset!G186</f>
        <v>5.0999999999999996</v>
      </c>
      <c r="X186" s="3">
        <f>Dataset!Q186</f>
        <v>85.78</v>
      </c>
    </row>
    <row r="187" spans="20:24" x14ac:dyDescent="0.3">
      <c r="T187" s="3">
        <f>Dataset!F188</f>
        <v>75.900000000000006</v>
      </c>
      <c r="U187" s="3">
        <f>Dataset!J188</f>
        <v>87.5</v>
      </c>
      <c r="W187" s="3">
        <f>Dataset!G187</f>
        <v>5.5</v>
      </c>
      <c r="X187" s="3">
        <f>Dataset!Q187</f>
        <v>61.81</v>
      </c>
    </row>
    <row r="188" spans="20:24" x14ac:dyDescent="0.3">
      <c r="T188" s="3">
        <f>Dataset!F189</f>
        <v>83.3</v>
      </c>
      <c r="U188" s="3">
        <f>Dataset!J189</f>
        <v>86</v>
      </c>
      <c r="W188" s="3">
        <f>Dataset!G188</f>
        <v>4.5</v>
      </c>
      <c r="X188" s="3">
        <f>Dataset!Q188</f>
        <v>88.05</v>
      </c>
    </row>
    <row r="189" spans="20:24" x14ac:dyDescent="0.3">
      <c r="T189" s="3">
        <f>Dataset!F190</f>
        <v>75</v>
      </c>
      <c r="U189" s="3">
        <f>Dataset!J190</f>
        <v>81.2</v>
      </c>
      <c r="W189" s="3">
        <f>Dataset!G189</f>
        <v>4.0999999999999996</v>
      </c>
      <c r="X189" s="3">
        <f>Dataset!Q189</f>
        <v>86.81</v>
      </c>
    </row>
    <row r="190" spans="20:24" x14ac:dyDescent="0.3">
      <c r="T190" s="3">
        <f>Dataset!F191</f>
        <v>88.1</v>
      </c>
      <c r="U190" s="3">
        <f>Dataset!J191</f>
        <v>91.3</v>
      </c>
      <c r="W190" s="3">
        <f>Dataset!G190</f>
        <v>4.0999999999999996</v>
      </c>
      <c r="X190" s="3">
        <f>Dataset!Q190</f>
        <v>76.7</v>
      </c>
    </row>
    <row r="191" spans="20:24" x14ac:dyDescent="0.3">
      <c r="T191" s="3">
        <f>Dataset!F192</f>
        <v>81</v>
      </c>
      <c r="U191" s="3">
        <f>Dataset!J192</f>
        <v>70.599999999999994</v>
      </c>
      <c r="W191" s="3">
        <f>Dataset!G191</f>
        <v>5.0999999999999996</v>
      </c>
      <c r="X191" s="3">
        <f>Dataset!Q191</f>
        <v>84.1</v>
      </c>
    </row>
    <row r="192" spans="20:24" x14ac:dyDescent="0.3">
      <c r="T192" s="3">
        <f>Dataset!F193</f>
        <v>83.4</v>
      </c>
      <c r="U192" s="3">
        <f>Dataset!J193</f>
        <v>91.9</v>
      </c>
      <c r="W192" s="3">
        <f>Dataset!G192</f>
        <v>1.5</v>
      </c>
      <c r="X192" s="3">
        <f>Dataset!Q192</f>
        <v>77.56</v>
      </c>
    </row>
    <row r="193" spans="20:24" x14ac:dyDescent="0.3">
      <c r="T193" s="3">
        <f>Dataset!F194</f>
        <v>100</v>
      </c>
      <c r="U193" s="3">
        <f>Dataset!J194</f>
        <v>83.5</v>
      </c>
      <c r="W193" s="3">
        <f>Dataset!G193</f>
        <v>6.5</v>
      </c>
      <c r="X193" s="3">
        <f>Dataset!Q193</f>
        <v>91.33</v>
      </c>
    </row>
    <row r="194" spans="20:24" x14ac:dyDescent="0.3">
      <c r="T194" s="3">
        <f>Dataset!F195</f>
        <v>72</v>
      </c>
      <c r="U194" s="3">
        <f>Dataset!J195</f>
        <v>79.5</v>
      </c>
      <c r="W194" s="3">
        <f>Dataset!G194</f>
        <v>3.9</v>
      </c>
      <c r="X194" s="3">
        <f>Dataset!Q194</f>
        <v>81.17</v>
      </c>
    </row>
    <row r="195" spans="20:24" x14ac:dyDescent="0.3">
      <c r="T195" s="3">
        <f>Dataset!F196</f>
        <v>94.5</v>
      </c>
      <c r="U195" s="3">
        <f>Dataset!J196</f>
        <v>88.4</v>
      </c>
      <c r="W195" s="3">
        <f>Dataset!G195</f>
        <v>5</v>
      </c>
      <c r="X195" s="3">
        <f>Dataset!Q195</f>
        <v>80.48</v>
      </c>
    </row>
    <row r="196" spans="20:24" x14ac:dyDescent="0.3">
      <c r="T196" s="3">
        <f>Dataset!F197</f>
        <v>58.1</v>
      </c>
      <c r="U196" s="3">
        <f>Dataset!J197</f>
        <v>71.5</v>
      </c>
      <c r="W196" s="3">
        <f>Dataset!G196</f>
        <v>5.5</v>
      </c>
      <c r="X196" s="3">
        <f>Dataset!Q196</f>
        <v>77.319999999999993</v>
      </c>
    </row>
    <row r="197" spans="20:24" x14ac:dyDescent="0.3">
      <c r="T197" s="3">
        <f>Dataset!F198</f>
        <v>63.3</v>
      </c>
      <c r="U197" s="3">
        <f>Dataset!J198</f>
        <v>68.3</v>
      </c>
      <c r="W197" s="3">
        <f>Dataset!G197</f>
        <v>3.9</v>
      </c>
      <c r="X197" s="3">
        <f>Dataset!Q197</f>
        <v>71.569999999999993</v>
      </c>
    </row>
    <row r="198" spans="20:24" x14ac:dyDescent="0.3">
      <c r="T198" s="3">
        <f>Dataset!F199</f>
        <v>70.8</v>
      </c>
      <c r="U198" s="3">
        <f>Dataset!J199</f>
        <v>67.400000000000006</v>
      </c>
      <c r="W198" s="3">
        <f>Dataset!G198</f>
        <v>4.5999999999999996</v>
      </c>
      <c r="X198" s="3">
        <f>Dataset!Q198</f>
        <v>71.03</v>
      </c>
    </row>
    <row r="199" spans="20:24" x14ac:dyDescent="0.3">
      <c r="T199" s="3">
        <f>Dataset!F200</f>
        <v>71.400000000000006</v>
      </c>
      <c r="U199" s="3">
        <f>Dataset!J200</f>
        <v>79.2</v>
      </c>
      <c r="W199" s="3">
        <f>Dataset!G199</f>
        <v>1.1000000000000001</v>
      </c>
      <c r="X199" s="3">
        <f>Dataset!Q199</f>
        <v>67.069999999999993</v>
      </c>
    </row>
    <row r="200" spans="20:24" x14ac:dyDescent="0.3">
      <c r="T200" s="3">
        <f>Dataset!F201</f>
        <v>83.8</v>
      </c>
      <c r="U200" s="3">
        <f>Dataset!J201</f>
        <v>73.599999999999994</v>
      </c>
      <c r="W200" s="3">
        <f>Dataset!G200</f>
        <v>6.1</v>
      </c>
      <c r="X200" s="3">
        <f>Dataset!Q200</f>
        <v>76.430000000000007</v>
      </c>
    </row>
    <row r="201" spans="20:24" x14ac:dyDescent="0.3">
      <c r="T201" s="3">
        <f>Dataset!F202</f>
        <v>84.6</v>
      </c>
      <c r="U201" s="3">
        <f>Dataset!J202</f>
        <v>67.2</v>
      </c>
      <c r="W201" s="3">
        <f>Dataset!G201</f>
        <v>6.7</v>
      </c>
      <c r="X201" s="3">
        <f>Dataset!Q201</f>
        <v>66.63</v>
      </c>
    </row>
    <row r="202" spans="20:24" x14ac:dyDescent="0.3">
      <c r="T202" s="3">
        <f>Dataset!F203</f>
        <v>79.7</v>
      </c>
      <c r="U202" s="3">
        <f>Dataset!J203</f>
        <v>67</v>
      </c>
      <c r="W202" s="3">
        <f>Dataset!G203</f>
        <v>4.0999999999999996</v>
      </c>
      <c r="X202" s="3">
        <f>Dataset!Q203</f>
        <v>63.15</v>
      </c>
    </row>
    <row r="203" spans="20:24" x14ac:dyDescent="0.3">
      <c r="T203" s="3">
        <f>Dataset!F204</f>
        <v>80.7</v>
      </c>
      <c r="U203" s="3">
        <f>Dataset!J204</f>
        <v>79.2</v>
      </c>
      <c r="W203" s="3">
        <f>Dataset!G204</f>
        <v>2.6</v>
      </c>
      <c r="X203" s="3">
        <f>Dataset!Q204</f>
        <v>82.77</v>
      </c>
    </row>
    <row r="204" spans="20:24" x14ac:dyDescent="0.3">
      <c r="T204" s="3">
        <f>Dataset!F205</f>
        <v>86.7</v>
      </c>
      <c r="U204" s="3">
        <f>Dataset!J205</f>
        <v>67.5</v>
      </c>
      <c r="W204" s="3">
        <f>Dataset!G205</f>
        <v>4.5</v>
      </c>
      <c r="X204" s="3">
        <f>Dataset!Q205</f>
        <v>73.2</v>
      </c>
    </row>
    <row r="205" spans="20:24" x14ac:dyDescent="0.3">
      <c r="T205" s="3">
        <f>Dataset!F206</f>
        <v>89.5</v>
      </c>
      <c r="U205" s="3">
        <f>Dataset!J206</f>
        <v>75.099999999999994</v>
      </c>
      <c r="W205" s="3">
        <f>Dataset!G206</f>
        <v>6</v>
      </c>
      <c r="X205" s="3">
        <f>Dataset!Q206</f>
        <v>70.75</v>
      </c>
    </row>
    <row r="206" spans="20:24" x14ac:dyDescent="0.3">
      <c r="T206" s="3">
        <f>Dataset!F207</f>
        <v>70.099999999999994</v>
      </c>
      <c r="U206" s="3">
        <f>Dataset!J207</f>
        <v>80.5</v>
      </c>
      <c r="W206" s="3">
        <f>Dataset!G207</f>
        <v>6.6</v>
      </c>
      <c r="X206" s="3">
        <f>Dataset!Q207</f>
        <v>71.55</v>
      </c>
    </row>
    <row r="207" spans="20:24" x14ac:dyDescent="0.3">
      <c r="T207" s="3">
        <f>Dataset!F208</f>
        <v>78.7</v>
      </c>
      <c r="U207" s="3">
        <f>Dataset!J208</f>
        <v>81</v>
      </c>
      <c r="W207" s="3">
        <f>Dataset!G208</f>
        <v>6.8</v>
      </c>
      <c r="X207" s="3">
        <f>Dataset!Q208</f>
        <v>77.83</v>
      </c>
    </row>
    <row r="208" spans="20:24" x14ac:dyDescent="0.3">
      <c r="T208" s="3">
        <f>Dataset!F209</f>
        <v>81.400000000000006</v>
      </c>
      <c r="U208" s="3">
        <f>Dataset!J209</f>
        <v>64.8</v>
      </c>
      <c r="W208" s="3">
        <f>Dataset!G209</f>
        <v>7.2</v>
      </c>
      <c r="X208" s="3">
        <f>Dataset!Q209</f>
        <v>68.09</v>
      </c>
    </row>
    <row r="209" spans="20:24" x14ac:dyDescent="0.3">
      <c r="T209" s="3">
        <f>Dataset!F210</f>
        <v>86.4</v>
      </c>
      <c r="U209" s="3">
        <f>Dataset!J210</f>
        <v>62.4</v>
      </c>
      <c r="W209" s="3">
        <f>Dataset!G210</f>
        <v>4.4000000000000004</v>
      </c>
      <c r="X209" s="3">
        <f>Dataset!Q210</f>
        <v>59.84</v>
      </c>
    </row>
    <row r="210" spans="20:24" x14ac:dyDescent="0.3">
      <c r="T210" s="3">
        <f>Dataset!F211</f>
        <v>75</v>
      </c>
      <c r="U210" s="3">
        <f>Dataset!J211</f>
        <v>86.3</v>
      </c>
      <c r="W210" s="3">
        <f>Dataset!G211</f>
        <v>2.7</v>
      </c>
      <c r="X210" s="3">
        <f>Dataset!Q211</f>
        <v>85.23</v>
      </c>
    </row>
    <row r="211" spans="20:24" x14ac:dyDescent="0.3">
      <c r="T211" s="3">
        <f>Dataset!F212</f>
        <v>81.2</v>
      </c>
      <c r="U211" s="3">
        <f>Dataset!J212</f>
        <v>88.6</v>
      </c>
      <c r="W211" s="3">
        <f>Dataset!G212</f>
        <v>4.5999999999999996</v>
      </c>
      <c r="X211" s="3">
        <f>Dataset!Q212</f>
        <v>87.19</v>
      </c>
    </row>
    <row r="212" spans="20:24" x14ac:dyDescent="0.3">
      <c r="T212" s="3">
        <f>Dataset!F213</f>
        <v>82.3</v>
      </c>
      <c r="U212" s="3">
        <f>Dataset!J213</f>
        <v>76.2</v>
      </c>
      <c r="W212" s="3">
        <f>Dataset!G213</f>
        <v>5.9</v>
      </c>
      <c r="X212" s="3">
        <f>Dataset!Q213</f>
        <v>76.59</v>
      </c>
    </row>
    <row r="213" spans="20:24" x14ac:dyDescent="0.3">
      <c r="T213" s="3">
        <f>Dataset!F214</f>
        <v>75.7</v>
      </c>
      <c r="U213" s="3">
        <f>Dataset!J214</f>
        <v>73.599999999999994</v>
      </c>
      <c r="W213" s="3">
        <f>Dataset!G215</f>
        <v>7.8</v>
      </c>
      <c r="X213" s="3">
        <f>Dataset!Q215</f>
        <v>66.44</v>
      </c>
    </row>
    <row r="214" spans="20:24" x14ac:dyDescent="0.3">
      <c r="T214" s="3">
        <f>Dataset!F215</f>
        <v>75.400000000000006</v>
      </c>
      <c r="U214" s="3">
        <f>Dataset!J215</f>
        <v>71</v>
      </c>
      <c r="W214" s="3">
        <f>Dataset!G216</f>
        <v>6.4</v>
      </c>
      <c r="X214" s="3">
        <f>Dataset!Q216</f>
        <v>89.69</v>
      </c>
    </row>
    <row r="215" spans="20:24" x14ac:dyDescent="0.3">
      <c r="T215" s="3">
        <f>Dataset!F216</f>
        <v>82.9</v>
      </c>
      <c r="U215" s="3">
        <f>Dataset!J216</f>
        <v>88.3</v>
      </c>
      <c r="W215" s="3">
        <f>Dataset!G217</f>
        <v>4.4000000000000004</v>
      </c>
      <c r="X215" s="3">
        <f>Dataset!Q217</f>
        <v>66.5</v>
      </c>
    </row>
    <row r="216" spans="20:24" x14ac:dyDescent="0.3">
      <c r="T216" s="3">
        <f>Dataset!F217</f>
        <v>80.8</v>
      </c>
      <c r="U216" s="3">
        <f>Dataset!J217</f>
        <v>61</v>
      </c>
      <c r="W216" s="3">
        <f>Dataset!G218</f>
        <v>3.5</v>
      </c>
      <c r="X216" s="3">
        <f>Dataset!Q218</f>
        <v>81.42</v>
      </c>
    </row>
    <row r="217" spans="20:24" x14ac:dyDescent="0.3">
      <c r="T217" s="3">
        <f>Dataset!F218</f>
        <v>86.5</v>
      </c>
      <c r="U217" s="3">
        <f>Dataset!J218</f>
        <v>84.8</v>
      </c>
      <c r="W217" s="3">
        <f>Dataset!G219</f>
        <v>3.6</v>
      </c>
      <c r="X217" s="3">
        <f>Dataset!Q219</f>
        <v>83.4</v>
      </c>
    </row>
    <row r="218" spans="20:24" x14ac:dyDescent="0.3">
      <c r="T218" s="3">
        <f>Dataset!F219</f>
        <v>72.5</v>
      </c>
      <c r="U218" s="3">
        <f>Dataset!J219</f>
        <v>86.7</v>
      </c>
      <c r="W218" s="3">
        <f>Dataset!G220</f>
        <v>4.9000000000000004</v>
      </c>
      <c r="X218" s="3">
        <f>Dataset!Q220</f>
        <v>64.319999999999993</v>
      </c>
    </row>
    <row r="219" spans="20:24" x14ac:dyDescent="0.3">
      <c r="T219" s="3">
        <f>Dataset!F220</f>
        <v>78.8</v>
      </c>
      <c r="U219" s="3">
        <f>Dataset!J220</f>
        <v>61.3</v>
      </c>
      <c r="W219" s="3">
        <f>Dataset!G221</f>
        <v>4.4000000000000004</v>
      </c>
      <c r="X219" s="3">
        <f>Dataset!Q221</f>
        <v>83.51</v>
      </c>
    </row>
    <row r="220" spans="20:24" x14ac:dyDescent="0.3">
      <c r="T220" s="3">
        <f>Dataset!F221</f>
        <v>79.900000000000006</v>
      </c>
      <c r="U220" s="3">
        <f>Dataset!J221</f>
        <v>88.5</v>
      </c>
      <c r="W220" s="3">
        <f>Dataset!G222</f>
        <v>6.5</v>
      </c>
      <c r="X220" s="3">
        <f>Dataset!Q222</f>
        <v>85.07</v>
      </c>
    </row>
    <row r="221" spans="20:24" x14ac:dyDescent="0.3">
      <c r="T221" s="3">
        <f>Dataset!F222</f>
        <v>89.3</v>
      </c>
      <c r="U221" s="3">
        <f>Dataset!J222</f>
        <v>87.5</v>
      </c>
      <c r="W221" s="3">
        <f>Dataset!G223</f>
        <v>4.2</v>
      </c>
      <c r="X221" s="3">
        <f>Dataset!Q223</f>
        <v>80.17</v>
      </c>
    </row>
    <row r="222" spans="20:24" x14ac:dyDescent="0.3">
      <c r="T222" s="3">
        <f>Dataset!F224</f>
        <v>84.1</v>
      </c>
      <c r="U222" s="3">
        <f>Dataset!J224</f>
        <v>78.400000000000006</v>
      </c>
      <c r="W222" s="3">
        <f>Dataset!G224</f>
        <v>5.7</v>
      </c>
      <c r="X222" s="3">
        <f>Dataset!Q224</f>
        <v>74.87</v>
      </c>
    </row>
    <row r="223" spans="20:24" x14ac:dyDescent="0.3">
      <c r="T223" s="3">
        <f>Dataset!F225</f>
        <v>84.3</v>
      </c>
      <c r="U223" s="3">
        <f>Dataset!J225</f>
        <v>79.400000000000006</v>
      </c>
      <c r="W223" s="3">
        <f>Dataset!G225</f>
        <v>4.7</v>
      </c>
      <c r="X223" s="3">
        <f>Dataset!Q225</f>
        <v>77.180000000000007</v>
      </c>
    </row>
    <row r="224" spans="20:24" x14ac:dyDescent="0.3">
      <c r="T224" s="3">
        <f>Dataset!F226</f>
        <v>96.8</v>
      </c>
      <c r="U224" s="3">
        <f>Dataset!J226</f>
        <v>90.7</v>
      </c>
      <c r="W224" s="3">
        <f>Dataset!G226</f>
        <v>5.3</v>
      </c>
      <c r="X224" s="3">
        <f>Dataset!Q226</f>
        <v>86.87</v>
      </c>
    </row>
    <row r="225" spans="20:24" x14ac:dyDescent="0.3">
      <c r="T225" s="3">
        <f>Dataset!F227</f>
        <v>72.900000000000006</v>
      </c>
      <c r="U225" s="3">
        <f>Dataset!J227</f>
        <v>68.7</v>
      </c>
      <c r="W225" s="3">
        <f>Dataset!G227</f>
        <v>4.4000000000000004</v>
      </c>
      <c r="X225" s="3">
        <f>Dataset!Q227</f>
        <v>70.2</v>
      </c>
    </row>
    <row r="226" spans="20:24" x14ac:dyDescent="0.3">
      <c r="T226" s="3">
        <f>Dataset!F228</f>
        <v>76.099999999999994</v>
      </c>
      <c r="U226" s="3">
        <f>Dataset!J228</f>
        <v>91.1</v>
      </c>
      <c r="W226" s="3">
        <f>Dataset!G228</f>
        <v>6.1</v>
      </c>
      <c r="X226" s="3">
        <f>Dataset!Q228</f>
        <v>85.45</v>
      </c>
    </row>
    <row r="227" spans="20:24" x14ac:dyDescent="0.3">
      <c r="T227" s="3">
        <f>Dataset!F229</f>
        <v>73.599999999999994</v>
      </c>
      <c r="U227" s="3">
        <f>Dataset!J229</f>
        <v>60.1</v>
      </c>
      <c r="W227" s="3">
        <f>Dataset!G229</f>
        <v>6.1</v>
      </c>
      <c r="X227" s="3">
        <f>Dataset!Q229</f>
        <v>59.8</v>
      </c>
    </row>
    <row r="228" spans="20:24" x14ac:dyDescent="0.3">
      <c r="T228" s="3">
        <f>Dataset!F230</f>
        <v>67</v>
      </c>
      <c r="U228" s="3">
        <f>Dataset!J230</f>
        <v>75.400000000000006</v>
      </c>
      <c r="W228" s="3">
        <f>Dataset!G230</f>
        <v>5.6</v>
      </c>
      <c r="X228" s="3">
        <f>Dataset!Q230</f>
        <v>75.849999999999994</v>
      </c>
    </row>
    <row r="229" spans="20:24" x14ac:dyDescent="0.3">
      <c r="T229" s="3">
        <f>Dataset!F231</f>
        <v>97.9</v>
      </c>
      <c r="U229" s="3">
        <f>Dataset!J231</f>
        <v>93.4</v>
      </c>
      <c r="W229" s="3">
        <f>Dataset!G231</f>
        <v>5.9</v>
      </c>
      <c r="X229" s="3">
        <f>Dataset!Q231</f>
        <v>88.49</v>
      </c>
    </row>
    <row r="230" spans="20:24" x14ac:dyDescent="0.3">
      <c r="T230" s="3">
        <f>Dataset!F232</f>
        <v>70.8</v>
      </c>
      <c r="U230" s="3">
        <f>Dataset!J232</f>
        <v>83.2</v>
      </c>
      <c r="W230" s="3">
        <f>Dataset!G232</f>
        <v>3.1</v>
      </c>
      <c r="X230" s="3">
        <f>Dataset!Q232</f>
        <v>88.74</v>
      </c>
    </row>
    <row r="231" spans="20:24" x14ac:dyDescent="0.3">
      <c r="T231" s="3">
        <f>Dataset!F233</f>
        <v>74.7</v>
      </c>
      <c r="U231" s="3">
        <f>Dataset!J233</f>
        <v>87.1</v>
      </c>
      <c r="W231" s="3">
        <f>Dataset!G233</f>
        <v>5.4</v>
      </c>
      <c r="X231" s="3">
        <f>Dataset!Q233</f>
        <v>83.06</v>
      </c>
    </row>
    <row r="232" spans="20:24" x14ac:dyDescent="0.3">
      <c r="T232" s="3">
        <f>Dataset!F234</f>
        <v>93.8</v>
      </c>
      <c r="U232" s="3">
        <f>Dataset!J234</f>
        <v>84.4</v>
      </c>
      <c r="W232" s="3">
        <f>Dataset!G234</f>
        <v>7</v>
      </c>
      <c r="X232" s="3">
        <f>Dataset!Q234</f>
        <v>73.099999999999994</v>
      </c>
    </row>
    <row r="233" spans="20:24" x14ac:dyDescent="0.3">
      <c r="T233" s="3">
        <f>Dataset!F235</f>
        <v>66.2</v>
      </c>
      <c r="U233" s="3">
        <f>Dataset!J235</f>
        <v>81.8</v>
      </c>
      <c r="W233" s="3">
        <f>Dataset!G235</f>
        <v>5.7</v>
      </c>
      <c r="X233" s="3">
        <f>Dataset!Q235</f>
        <v>76.569999999999993</v>
      </c>
    </row>
    <row r="234" spans="20:24" x14ac:dyDescent="0.3">
      <c r="T234" s="3">
        <f>Dataset!F236</f>
        <v>88.8</v>
      </c>
      <c r="U234" s="3">
        <f>Dataset!J236</f>
        <v>78.8</v>
      </c>
      <c r="W234" s="3">
        <f>Dataset!G236</f>
        <v>2.9</v>
      </c>
      <c r="X234" s="3">
        <f>Dataset!Q236</f>
        <v>88.56</v>
      </c>
    </row>
    <row r="235" spans="20:24" x14ac:dyDescent="0.3">
      <c r="T235" s="3">
        <f>Dataset!F237</f>
        <v>69.3</v>
      </c>
      <c r="U235" s="3">
        <f>Dataset!J237</f>
        <v>76.8</v>
      </c>
      <c r="W235" s="3">
        <f>Dataset!G237</f>
        <v>4.7</v>
      </c>
      <c r="X235" s="3">
        <f>Dataset!Q237</f>
        <v>75.650000000000006</v>
      </c>
    </row>
    <row r="236" spans="20:24" x14ac:dyDescent="0.3">
      <c r="T236" s="3">
        <f>Dataset!F238</f>
        <v>93.2</v>
      </c>
      <c r="U236" s="3">
        <f>Dataset!J238</f>
        <v>91.1</v>
      </c>
      <c r="W236" s="3">
        <f>Dataset!G238</f>
        <v>5.5</v>
      </c>
      <c r="X236" s="3">
        <f>Dataset!Q238</f>
        <v>84.35</v>
      </c>
    </row>
    <row r="237" spans="20:24" x14ac:dyDescent="0.3">
      <c r="T237" s="3">
        <f>Dataset!F239</f>
        <v>62.5</v>
      </c>
      <c r="U237" s="3">
        <f>Dataset!J239</f>
        <v>64.599999999999994</v>
      </c>
      <c r="W237" s="3">
        <f>Dataset!G239</f>
        <v>3.4</v>
      </c>
      <c r="X237" s="3">
        <f>Dataset!Q239</f>
        <v>70.84</v>
      </c>
    </row>
    <row r="238" spans="20:24" x14ac:dyDescent="0.3">
      <c r="T238" s="3">
        <f>Dataset!F240</f>
        <v>66.2</v>
      </c>
      <c r="U238" s="3">
        <f>Dataset!J240</f>
        <v>76.599999999999994</v>
      </c>
      <c r="W238" s="3">
        <f>Dataset!G240</f>
        <v>2.4</v>
      </c>
      <c r="X238" s="3">
        <f>Dataset!Q240</f>
        <v>77.290000000000006</v>
      </c>
    </row>
    <row r="239" spans="20:24" x14ac:dyDescent="0.3">
      <c r="T239" s="3">
        <f>Dataset!F241</f>
        <v>77.099999999999994</v>
      </c>
      <c r="U239" s="3">
        <f>Dataset!J241</f>
        <v>78.900000000000006</v>
      </c>
      <c r="W239" s="3">
        <f>Dataset!G241</f>
        <v>4.2</v>
      </c>
      <c r="X239" s="3">
        <f>Dataset!Q241</f>
        <v>75.040000000000006</v>
      </c>
    </row>
    <row r="240" spans="20:24" x14ac:dyDescent="0.3">
      <c r="T240" s="3">
        <f>Dataset!F242</f>
        <v>90.7</v>
      </c>
      <c r="U240" s="3">
        <f>Dataset!J242</f>
        <v>68.2</v>
      </c>
      <c r="W240" s="3">
        <f>Dataset!G242</f>
        <v>3.5</v>
      </c>
      <c r="X240" s="3">
        <f>Dataset!Q242</f>
        <v>71.209999999999994</v>
      </c>
    </row>
    <row r="241" spans="20:24" x14ac:dyDescent="0.3">
      <c r="T241" s="3">
        <f>Dataset!F243</f>
        <v>81.7</v>
      </c>
      <c r="U241" s="3">
        <f>Dataset!J243</f>
        <v>80.599999999999994</v>
      </c>
      <c r="W241" s="3">
        <f>Dataset!G243</f>
        <v>4.8</v>
      </c>
      <c r="X241" s="3">
        <f>Dataset!Q243</f>
        <v>75.09</v>
      </c>
    </row>
    <row r="242" spans="20:24" x14ac:dyDescent="0.3">
      <c r="T242" s="3">
        <f>Dataset!F244</f>
        <v>79</v>
      </c>
      <c r="U242" s="3">
        <f>Dataset!J244</f>
        <v>77</v>
      </c>
      <c r="W242" s="3">
        <f>Dataset!G244</f>
        <v>1.9</v>
      </c>
      <c r="X242" s="3">
        <f>Dataset!Q244</f>
        <v>77.86</v>
      </c>
    </row>
    <row r="243" spans="20:24" x14ac:dyDescent="0.3">
      <c r="T243" s="3">
        <f>Dataset!F245</f>
        <v>94.1</v>
      </c>
      <c r="U243" s="3">
        <f>Dataset!J245</f>
        <v>82</v>
      </c>
      <c r="W243" s="3">
        <f>Dataset!G245</f>
        <v>5.8</v>
      </c>
      <c r="X243" s="3">
        <f>Dataset!Q245</f>
        <v>75.08</v>
      </c>
    </row>
    <row r="244" spans="20:24" x14ac:dyDescent="0.3">
      <c r="T244" s="3">
        <f>Dataset!F246</f>
        <v>100</v>
      </c>
      <c r="U244" s="3">
        <f>Dataset!J246</f>
        <v>84.1</v>
      </c>
      <c r="W244" s="3">
        <f>Dataset!G246</f>
        <v>3.7</v>
      </c>
      <c r="X244" s="3">
        <f>Dataset!Q246</f>
        <v>87.43</v>
      </c>
    </row>
    <row r="245" spans="20:24" x14ac:dyDescent="0.3">
      <c r="T245" s="3">
        <f>Dataset!F247</f>
        <v>88.1</v>
      </c>
      <c r="U245" s="3">
        <f>Dataset!J247</f>
        <v>85.9</v>
      </c>
      <c r="W245" s="3">
        <f>Dataset!G247</f>
        <v>6.6</v>
      </c>
      <c r="X245" s="3">
        <f>Dataset!Q247</f>
        <v>82.2</v>
      </c>
    </row>
    <row r="246" spans="20:24" x14ac:dyDescent="0.3">
      <c r="T246" s="3">
        <f>Dataset!F248</f>
        <v>76.400000000000006</v>
      </c>
      <c r="U246" s="3">
        <f>Dataset!J248</f>
        <v>60</v>
      </c>
      <c r="W246" s="3">
        <f>Dataset!G248</f>
        <v>4.3</v>
      </c>
      <c r="X246" s="3">
        <f>Dataset!Q248</f>
        <v>63.88</v>
      </c>
    </row>
    <row r="247" spans="20:24" x14ac:dyDescent="0.3">
      <c r="T247" s="3">
        <f>Dataset!F249</f>
        <v>78.2</v>
      </c>
      <c r="U247" s="3">
        <f>Dataset!J249</f>
        <v>52.8</v>
      </c>
      <c r="W247" s="3">
        <f>Dataset!G249</f>
        <v>4.8</v>
      </c>
      <c r="X247" s="3">
        <f>Dataset!Q249</f>
        <v>58.02</v>
      </c>
    </row>
    <row r="248" spans="20:24" x14ac:dyDescent="0.3">
      <c r="T248" s="3">
        <f>Dataset!F250</f>
        <v>70.400000000000006</v>
      </c>
      <c r="U248" s="3">
        <f>Dataset!J250</f>
        <v>84.8</v>
      </c>
      <c r="W248" s="3">
        <f>Dataset!G250</f>
        <v>4.5</v>
      </c>
      <c r="X248" s="3">
        <f>Dataset!Q250</f>
        <v>86.03</v>
      </c>
    </row>
    <row r="249" spans="20:24" x14ac:dyDescent="0.3">
      <c r="T249" s="3">
        <f>Dataset!F251</f>
        <v>82.9</v>
      </c>
      <c r="U249" s="3">
        <f>Dataset!J251</f>
        <v>86.5</v>
      </c>
      <c r="W249" s="3">
        <f>Dataset!G251</f>
        <v>3.6</v>
      </c>
      <c r="X249" s="3">
        <f>Dataset!Q251</f>
        <v>81.760000000000005</v>
      </c>
    </row>
  </sheetData>
  <mergeCells count="1">
    <mergeCell ref="A1:F1"/>
  </mergeCells>
  <conditionalFormatting sqref="E14:E1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abSelected="1" zoomScale="33" workbookViewId="0">
      <selection activeCell="V81" sqref="V81"/>
    </sheetView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KPI</vt:lpstr>
      <vt:lpstr>HIGH-PERFORMING STUDENTS</vt:lpstr>
      <vt:lpstr>ANALYSIS</vt:lpstr>
      <vt:lpstr>PIVOT TABLE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krinaghori2009@hotmail.com</cp:lastModifiedBy>
  <dcterms:created xsi:type="dcterms:W3CDTF">2026-09-18T18:15:07Z</dcterms:created>
  <dcterms:modified xsi:type="dcterms:W3CDTF">2026-09-19T04:57:31Z</dcterms:modified>
</cp:coreProperties>
</file>