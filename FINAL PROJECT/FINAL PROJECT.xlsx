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AI-ML &amp; DATA SCIENCE\EXCEL\FINAL PROJECT\"/>
    </mc:Choice>
  </mc:AlternateContent>
  <xr:revisionPtr revIDLastSave="0" documentId="13_ncr:1_{CFA1770F-6320-4BCA-B840-AACE0AC318B3}" xr6:coauthVersionLast="47" xr6:coauthVersionMax="47" xr10:uidLastSave="{00000000-0000-0000-0000-000000000000}"/>
  <bookViews>
    <workbookView xWindow="-108" yWindow="-108" windowWidth="23256" windowHeight="13896" activeTab="5" xr2:uid="{00000000-000D-0000-FFFF-FFFF00000000}"/>
  </bookViews>
  <sheets>
    <sheet name="Dataset" sheetId="1" r:id="rId1"/>
    <sheet name="KPI" sheetId="2" r:id="rId2"/>
    <sheet name="HIGH-VALUE CUSTOMERS" sheetId="3" r:id="rId3"/>
    <sheet name="ANALYSIS" sheetId="4" r:id="rId4"/>
    <sheet name="PIVOT TABLE" sheetId="8" r:id="rId5"/>
    <sheet name="CHARTS" sheetId="10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4" l="1" a="1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20" i="3"/>
  <c r="B10" i="2"/>
  <c r="B9" i="2"/>
  <c r="B8" i="2"/>
  <c r="B7" i="2"/>
  <c r="B6" i="2"/>
  <c r="E5" i="3" a="1"/>
  <c r="A20" i="3" a="1"/>
  <c r="A5" i="3" a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" i="1"/>
  <c r="B3" i="2"/>
  <c r="B5" i="2"/>
  <c r="B4" i="2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" i="1"/>
  <c r="V2" i="1" a="1"/>
  <c r="B23" i="4" l="1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4" i="4"/>
  <c r="F5" i="4"/>
  <c r="E5" i="4"/>
  <c r="B5" i="4"/>
  <c r="D5" i="4"/>
  <c r="C5" i="4"/>
  <c r="B21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40" i="3"/>
  <c r="B41" i="3"/>
  <c r="B43" i="3"/>
  <c r="B45" i="3"/>
  <c r="B47" i="3"/>
  <c r="B50" i="3"/>
  <c r="B51" i="3"/>
  <c r="B53" i="3"/>
  <c r="B54" i="3"/>
  <c r="B56" i="3"/>
  <c r="B58" i="3"/>
  <c r="B59" i="3"/>
  <c r="B61" i="3"/>
  <c r="B63" i="3"/>
  <c r="B65" i="3"/>
  <c r="B68" i="3"/>
  <c r="B70" i="3"/>
  <c r="B72" i="3"/>
  <c r="B74" i="3"/>
  <c r="B76" i="3"/>
  <c r="B78" i="3"/>
  <c r="B22" i="3"/>
  <c r="B39" i="3"/>
  <c r="B42" i="3"/>
  <c r="B44" i="3"/>
  <c r="B46" i="3"/>
  <c r="B48" i="3"/>
  <c r="B49" i="3"/>
  <c r="B52" i="3"/>
  <c r="B55" i="3"/>
  <c r="B57" i="3"/>
  <c r="B60" i="3"/>
  <c r="B62" i="3"/>
  <c r="B64" i="3"/>
  <c r="B66" i="3"/>
  <c r="B67" i="3"/>
  <c r="B69" i="3"/>
  <c r="B71" i="3"/>
  <c r="B73" i="3"/>
  <c r="B75" i="3"/>
  <c r="B77" i="3"/>
  <c r="B2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<sst xmlns="http://schemas.openxmlformats.org/spreadsheetml/2006/main" count="3089" uniqueCount="574">
  <si>
    <t>TransactionID</t>
  </si>
  <si>
    <t>Date</t>
  </si>
  <si>
    <t>Time</t>
  </si>
  <si>
    <t>CustomerID</t>
  </si>
  <si>
    <t>CustomerName</t>
  </si>
  <si>
    <t>Gender</t>
  </si>
  <si>
    <t>Age</t>
  </si>
  <si>
    <t>Region</t>
  </si>
  <si>
    <t>City</t>
  </si>
  <si>
    <t>Category</t>
  </si>
  <si>
    <t>Product</t>
  </si>
  <si>
    <t>Quantity</t>
  </si>
  <si>
    <t>UnitPrice</t>
  </si>
  <si>
    <t>Discount</t>
  </si>
  <si>
    <t>Revenue</t>
  </si>
  <si>
    <t>Cost</t>
  </si>
  <si>
    <t>Profit</t>
  </si>
  <si>
    <t>PaymentMethod</t>
  </si>
  <si>
    <t>Salesperson</t>
  </si>
  <si>
    <t>CustomerType</t>
  </si>
  <si>
    <t>Rating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</si>
  <si>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</si>
  <si>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</si>
  <si>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</si>
  <si>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</si>
  <si>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</si>
  <si>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</si>
  <si>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</si>
  <si>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</si>
  <si>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</si>
  <si>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</si>
  <si>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</si>
  <si>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</si>
  <si>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</si>
  <si>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</si>
  <si>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</si>
  <si>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</si>
  <si>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</si>
  <si>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</si>
  <si>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</si>
  <si>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</si>
  <si>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</si>
  <si>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</si>
  <si>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</si>
  <si>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</si>
  <si>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</si>
  <si>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</si>
  <si>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</si>
  <si>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</si>
  <si>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</si>
  <si>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</si>
  <si>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</si>
  <si>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</si>
  <si>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</si>
  <si>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</si>
  <si>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</si>
  <si>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</si>
  <si>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</si>
  <si>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</si>
  <si>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</si>
  <si>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</si>
  <si>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</si>
  <si>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</si>
  <si>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</si>
  <si>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</si>
  <si>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</si>
  <si>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</si>
  <si>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</si>
  <si>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</si>
  <si>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</si>
  <si>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</si>
  <si>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</si>
  <si>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</si>
  <si>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</si>
  <si>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</si>
  <si>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</si>
  <si>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</si>
  <si>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</si>
  <si>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</si>
  <si>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</si>
  <si>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</si>
  <si>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</si>
  <si>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</si>
  <si>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</si>
  <si>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</si>
  <si>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</si>
  <si>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</si>
  <si>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</si>
  <si>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</si>
  <si>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</si>
  <si>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</si>
  <si>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</si>
  <si>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</si>
  <si>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</si>
  <si>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</si>
  <si>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</si>
  <si>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</si>
  <si>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</si>
  <si>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</si>
  <si>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</si>
  <si>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</si>
  <si>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</si>
  <si>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</si>
  <si>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</si>
  <si>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</si>
  <si>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</si>
  <si>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</si>
  <si>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</si>
  <si>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</si>
  <si>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</si>
  <si>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</si>
  <si>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</si>
  <si>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</si>
  <si>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</si>
  <si>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</si>
  <si>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</si>
  <si>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</si>
  <si>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</si>
  <si>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</si>
  <si>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</si>
  <si>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</si>
  <si>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</si>
  <si>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</si>
  <si>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</si>
  <si>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</si>
  <si>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</si>
  <si>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</si>
  <si>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</si>
  <si>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</si>
  <si>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</si>
  <si>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</si>
  <si>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</si>
  <si>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</si>
  <si>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</si>
  <si>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</si>
  <si>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</si>
  <si>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</si>
  <si>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</si>
  <si>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</si>
  <si>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</si>
  <si>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</si>
  <si>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</si>
  <si>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</si>
  <si>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</si>
  <si>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</si>
  <si>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</si>
  <si>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</si>
  <si>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</si>
  <si>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</si>
  <si>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</si>
  <si>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</si>
  <si>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</si>
  <si>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</si>
  <si>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</si>
  <si>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</si>
  <si>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</si>
  <si>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</si>
  <si>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</si>
  <si>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</si>
  <si>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</si>
  <si>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</si>
  <si>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</si>
  <si>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</si>
  <si>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</si>
  <si>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</si>
  <si>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</si>
  <si>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</si>
  <si>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</si>
  <si>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</si>
  <si>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</si>
  <si>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</si>
  <si>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</si>
  <si>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</si>
  <si>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</si>
  <si>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</si>
  <si>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</si>
  <si>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</si>
  <si>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</si>
  <si>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</si>
  <si>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</si>
  <si>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</si>
  <si>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</si>
  <si>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</si>
  <si>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</si>
  <si>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</si>
  <si>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</si>
  <si>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</si>
  <si>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</si>
  <si>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</si>
  <si>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</si>
  <si>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</si>
  <si>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</si>
  <si>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</si>
  <si>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</si>
  <si>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</si>
  <si>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</si>
  <si>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</si>
  <si>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</si>
  <si>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</si>
  <si>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</si>
  <si>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</si>
  <si>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</si>
  <si>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</si>
  <si>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</si>
  <si>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</si>
  <si>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</si>
  <si>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</si>
  <si>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</si>
  <si>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</si>
  <si>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</si>
  <si>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</si>
  <si>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</si>
  <si>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</si>
  <si>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</si>
  <si>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</si>
  <si>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</si>
  <si>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</si>
  <si>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</si>
  <si>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</si>
  <si>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</si>
  <si>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</si>
  <si>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</si>
  <si>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</si>
  <si>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</si>
  <si>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</si>
  <si>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</si>
  <si>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</si>
  <si>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</si>
  <si>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</si>
  <si>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</si>
  <si>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</si>
  <si>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</si>
  <si>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</si>
  <si>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</si>
  <si>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</si>
  <si>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</si>
  <si>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</si>
  <si>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</si>
  <si>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</si>
  <si>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</si>
  <si>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</si>
  <si>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</si>
  <si>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</si>
  <si>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</si>
  <si>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</si>
  <si>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</si>
  <si>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</si>
  <si>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</si>
  <si>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</si>
  <si>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</si>
  <si>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</si>
  <si>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</si>
  <si>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</si>
  <si>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</si>
  <si>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</si>
  <si>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</si>
  <si>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</si>
  <si>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</si>
  <si>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</si>
  <si>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</si>
  <si>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</si>
  <si>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</si>
  <si>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</si>
  <si>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</si>
  <si>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</si>
  <si>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</si>
  <si>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</si>
  <si>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</si>
  <si>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</si>
  <si>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</si>
  <si>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</si>
  <si>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12:20</t>
  </si>
  <si>
    <t>09:15</t>
  </si>
  <si>
    <t>09:50</t>
  </si>
  <si>
    <t>19:00</t>
  </si>
  <si>
    <t>11:50</t>
  </si>
  <si>
    <t>14:40</t>
  </si>
  <si>
    <t>13:45</t>
  </si>
  <si>
    <t>18:15</t>
  </si>
  <si>
    <t>14:50</t>
  </si>
  <si>
    <t>16:50</t>
  </si>
  <si>
    <t>18:40</t>
  </si>
  <si>
    <t>12:40</t>
  </si>
  <si>
    <t>13:10</t>
  </si>
  <si>
    <t>13:00</t>
  </si>
  <si>
    <t>09:40</t>
  </si>
  <si>
    <t>10:00</t>
  </si>
  <si>
    <t>11:00</t>
  </si>
  <si>
    <t>16:30</t>
  </si>
  <si>
    <t>17:20</t>
  </si>
  <si>
    <t>17:40</t>
  </si>
  <si>
    <t>17:45</t>
  </si>
  <si>
    <t>18:20</t>
  </si>
  <si>
    <t>11:45</t>
  </si>
  <si>
    <t>19:20</t>
  </si>
  <si>
    <t>15:00</t>
  </si>
  <si>
    <t>20:30</t>
  </si>
  <si>
    <t>11:30</t>
  </si>
  <si>
    <t>10:50</t>
  </si>
  <si>
    <t>14:20</t>
  </si>
  <si>
    <t>13:30</t>
  </si>
  <si>
    <t>20:20</t>
  </si>
  <si>
    <t>19:40</t>
  </si>
  <si>
    <t>18:00</t>
  </si>
  <si>
    <t>16:40</t>
  </si>
  <si>
    <t>09:30</t>
  </si>
  <si>
    <t>11:10</t>
  </si>
  <si>
    <t>13:40</t>
  </si>
  <si>
    <t>14:10</t>
  </si>
  <si>
    <t>14:30</t>
  </si>
  <si>
    <t>16:10</t>
  </si>
  <si>
    <t>10:40</t>
  </si>
  <si>
    <t>14:15</t>
  </si>
  <si>
    <t>18:50</t>
  </si>
  <si>
    <t>12:30</t>
  </si>
  <si>
    <t>19:15</t>
  </si>
  <si>
    <t>12:00</t>
  </si>
  <si>
    <t>20:50</t>
  </si>
  <si>
    <t>15:50</t>
  </si>
  <si>
    <t>13:20</t>
  </si>
  <si>
    <t>12:10</t>
  </si>
  <si>
    <t>10:45</t>
  </si>
  <si>
    <t>19:10</t>
  </si>
  <si>
    <t>10:30</t>
  </si>
  <si>
    <t>20:40</t>
  </si>
  <si>
    <t>18:45</t>
  </si>
  <si>
    <t>17:50</t>
  </si>
  <si>
    <t>13:15</t>
  </si>
  <si>
    <t>16:00</t>
  </si>
  <si>
    <t>16:15</t>
  </si>
  <si>
    <t>15:30</t>
  </si>
  <si>
    <t>20:45</t>
  </si>
  <si>
    <t>11:40</t>
  </si>
  <si>
    <t>12:15</t>
  </si>
  <si>
    <t>09:00</t>
  </si>
  <si>
    <t>12:45</t>
  </si>
  <si>
    <t>10:10</t>
  </si>
  <si>
    <t>15:20</t>
  </si>
  <si>
    <t>18:30</t>
  </si>
  <si>
    <t>13:50</t>
  </si>
  <si>
    <t>17:15</t>
  </si>
  <si>
    <t>14:45</t>
  </si>
  <si>
    <t>19:30</t>
  </si>
  <si>
    <t>20:10</t>
  </si>
  <si>
    <t>09:10</t>
  </si>
  <si>
    <t>11:20</t>
  </si>
  <si>
    <t>09:20</t>
  </si>
  <si>
    <t>16:45</t>
  </si>
  <si>
    <t>17:30</t>
  </si>
  <si>
    <t>17:00</t>
  </si>
  <si>
    <t>18:10</t>
  </si>
  <si>
    <t>09:45</t>
  </si>
  <si>
    <t>20:00</t>
  </si>
  <si>
    <t>14:00</t>
  </si>
  <si>
    <t>11:15</t>
  </si>
  <si>
    <t>19:45</t>
  </si>
  <si>
    <t>15:45</t>
  </si>
  <si>
    <t>10:15</t>
  </si>
  <si>
    <t>10:20</t>
  </si>
  <si>
    <t>15:15</t>
  </si>
  <si>
    <t>20:15</t>
  </si>
  <si>
    <t>16:20</t>
  </si>
  <si>
    <t>15:10</t>
  </si>
  <si>
    <t>C029</t>
  </si>
  <si>
    <t>C018</t>
  </si>
  <si>
    <t>C049</t>
  </si>
  <si>
    <t>C033</t>
  </si>
  <si>
    <t>C002</t>
  </si>
  <si>
    <t>C012</t>
  </si>
  <si>
    <t>C019</t>
  </si>
  <si>
    <t>C031</t>
  </si>
  <si>
    <t>C020</t>
  </si>
  <si>
    <t>C022</t>
  </si>
  <si>
    <t>C006</t>
  </si>
  <si>
    <t>C058</t>
  </si>
  <si>
    <t>C025</t>
  </si>
  <si>
    <t>C028</t>
  </si>
  <si>
    <t>C023</t>
  </si>
  <si>
    <t>C016</t>
  </si>
  <si>
    <t>C037</t>
  </si>
  <si>
    <t>C017</t>
  </si>
  <si>
    <t>C053</t>
  </si>
  <si>
    <t>C009</t>
  </si>
  <si>
    <t>C010</t>
  </si>
  <si>
    <t>C003</t>
  </si>
  <si>
    <t>C054</t>
  </si>
  <si>
    <t>C050</t>
  </si>
  <si>
    <t>C013</t>
  </si>
  <si>
    <t>C035</t>
  </si>
  <si>
    <t>C021</t>
  </si>
  <si>
    <t>C051</t>
  </si>
  <si>
    <t>C045</t>
  </si>
  <si>
    <t>C052</t>
  </si>
  <si>
    <t>C047</t>
  </si>
  <si>
    <t>C044</t>
  </si>
  <si>
    <t>C036</t>
  </si>
  <si>
    <t>C008</t>
  </si>
  <si>
    <t>C014</t>
  </si>
  <si>
    <t>C060</t>
  </si>
  <si>
    <t>C039</t>
  </si>
  <si>
    <t>C011</t>
  </si>
  <si>
    <t>C043</t>
  </si>
  <si>
    <t>C057</t>
  </si>
  <si>
    <t>C030</t>
  </si>
  <si>
    <t>C001</t>
  </si>
  <si>
    <t>C040</t>
  </si>
  <si>
    <t>C059</t>
  </si>
  <si>
    <t>C055</t>
  </si>
  <si>
    <t>C026</t>
  </si>
  <si>
    <t>C042</t>
  </si>
  <si>
    <t>C048</t>
  </si>
  <si>
    <t>C027</t>
  </si>
  <si>
    <t>C046</t>
  </si>
  <si>
    <t>C034</t>
  </si>
  <si>
    <t>C007</t>
  </si>
  <si>
    <t>C004</t>
  </si>
  <si>
    <t>C024</t>
  </si>
  <si>
    <t>C041</t>
  </si>
  <si>
    <t>C015</t>
  </si>
  <si>
    <t>C032</t>
  </si>
  <si>
    <t>C005</t>
  </si>
  <si>
    <t>C038</t>
  </si>
  <si>
    <t>Avni Patel</t>
  </si>
  <si>
    <t>Isha Patel</t>
  </si>
  <si>
    <t>Riya Shah</t>
  </si>
  <si>
    <t>Aditya Shah</t>
  </si>
  <si>
    <t>Vivaan Patel</t>
  </si>
  <si>
    <t>Kabir Patel</t>
  </si>
  <si>
    <t>Riya Patel</t>
  </si>
  <si>
    <t>Aarav Shah</t>
  </si>
  <si>
    <t>Priya Patel</t>
  </si>
  <si>
    <t>Mahi Patel</t>
  </si>
  <si>
    <t>Rohan Patel</t>
  </si>
  <si>
    <t>Meera Shah</t>
  </si>
  <si>
    <t>Jiya Patel</t>
  </si>
  <si>
    <t>Meera Patel</t>
  </si>
  <si>
    <t>Aanya Patel</t>
  </si>
  <si>
    <t>Anaya Patel</t>
  </si>
  <si>
    <t>Rahul Shah</t>
  </si>
  <si>
    <t>Diya Patel</t>
  </si>
  <si>
    <t>Aanya Shah</t>
  </si>
  <si>
    <t>Yash Patel</t>
  </si>
  <si>
    <t>Dev Patel</t>
  </si>
  <si>
    <t>Aditya Patel</t>
  </si>
  <si>
    <t>Khushi Shah</t>
  </si>
  <si>
    <t>Priya Shah</t>
  </si>
  <si>
    <t>Aryan Patel</t>
  </si>
  <si>
    <t>Arjun Shah</t>
  </si>
  <si>
    <t>Kavya Patel</t>
  </si>
  <si>
    <t>Kavya Shah</t>
  </si>
  <si>
    <t>Manav Shah</t>
  </si>
  <si>
    <t>Mahi Shah</t>
  </si>
  <si>
    <t>Diya Shah</t>
  </si>
  <si>
    <t>Harsh Shah</t>
  </si>
  <si>
    <t>Rohan Shah</t>
  </si>
  <si>
    <t>Dhruv Patel</t>
  </si>
  <si>
    <t>Harsh Patel</t>
  </si>
  <si>
    <t>Shreya Shah</t>
  </si>
  <si>
    <t>Yash Shah</t>
  </si>
  <si>
    <t>Ishaan Patel</t>
  </si>
  <si>
    <t>Aryan Shah</t>
  </si>
  <si>
    <t>Pooja Shah</t>
  </si>
  <si>
    <t>Shreya Patel</t>
  </si>
  <si>
    <t>Aarav Patel</t>
  </si>
  <si>
    <t>Dev Shah</t>
  </si>
  <si>
    <t>Avni Shah</t>
  </si>
  <si>
    <t>Jiya Shah</t>
  </si>
  <si>
    <t>Nisha Patel</t>
  </si>
  <si>
    <t>Kabir Shah</t>
  </si>
  <si>
    <t>Isha Shah</t>
  </si>
  <si>
    <t>Pooja Patel</t>
  </si>
  <si>
    <t>Anaya Shah</t>
  </si>
  <si>
    <t>Krish Shah</t>
  </si>
  <si>
    <t>Rahul Patel</t>
  </si>
  <si>
    <t>Krish Patel</t>
  </si>
  <si>
    <t>Khushi Patel</t>
  </si>
  <si>
    <t>Ishaan Shah</t>
  </si>
  <si>
    <t>Manav Patel</t>
  </si>
  <si>
    <t>Vivaan Shah</t>
  </si>
  <si>
    <t>Arjun Patel</t>
  </si>
  <si>
    <t>Dhruv Shah</t>
  </si>
  <si>
    <t>Male</t>
  </si>
  <si>
    <t>Female</t>
  </si>
  <si>
    <t>West</t>
  </si>
  <si>
    <t>North</t>
  </si>
  <si>
    <t>South</t>
  </si>
  <si>
    <t>East</t>
  </si>
  <si>
    <t>Vadodara</t>
  </si>
  <si>
    <t>Chandigarh</t>
  </si>
  <si>
    <t>Kochi</t>
  </si>
  <si>
    <t>Surat</t>
  </si>
  <si>
    <t>Delhi</t>
  </si>
  <si>
    <t>Chennai</t>
  </si>
  <si>
    <t>Mumbai</t>
  </si>
  <si>
    <t>Ahmedabad</t>
  </si>
  <si>
    <t>Bhubaneswar</t>
  </si>
  <si>
    <t>Bengaluru</t>
  </si>
  <si>
    <t>Kolkata</t>
  </si>
  <si>
    <t>Hyderabad</t>
  </si>
  <si>
    <t>Jaipur</t>
  </si>
  <si>
    <t>Guwahati</t>
  </si>
  <si>
    <t>Patna</t>
  </si>
  <si>
    <t>Fashion</t>
  </si>
  <si>
    <t>Home</t>
  </si>
  <si>
    <t>Grocery</t>
  </si>
  <si>
    <t>Electronics</t>
  </si>
  <si>
    <t>Beauty</t>
  </si>
  <si>
    <t>Sneakers</t>
  </si>
  <si>
    <t>Mixer Grinder</t>
  </si>
  <si>
    <t>Coffee</t>
  </si>
  <si>
    <t>Smartphone</t>
  </si>
  <si>
    <t>Protein Bar</t>
  </si>
  <si>
    <t>Air Fryer</t>
  </si>
  <si>
    <t>T-Shirt</t>
  </si>
  <si>
    <t>Backpack</t>
  </si>
  <si>
    <t>Jeans</t>
  </si>
  <si>
    <t>Dry Fruits</t>
  </si>
  <si>
    <t>Green Tea</t>
  </si>
  <si>
    <t>Laptop</t>
  </si>
  <si>
    <t>Skin Care Kit</t>
  </si>
  <si>
    <t>Headphones</t>
  </si>
  <si>
    <t>Vacuum Cleaner</t>
  </si>
  <si>
    <t>Smartwatch</t>
  </si>
  <si>
    <t>Table Lamp</t>
  </si>
  <si>
    <t>Shampoo</t>
  </si>
  <si>
    <t>Face Wash</t>
  </si>
  <si>
    <t>Perfume</t>
  </si>
  <si>
    <t>Cash</t>
  </si>
  <si>
    <t>Debit Card</t>
  </si>
  <si>
    <t>UPI</t>
  </si>
  <si>
    <t>Net Banking</t>
  </si>
  <si>
    <t>Credit Card</t>
  </si>
  <si>
    <t>Amit</t>
  </si>
  <si>
    <t>Neha</t>
  </si>
  <si>
    <t>Karan</t>
  </si>
  <si>
    <t>Vivek</t>
  </si>
  <si>
    <t>Pooja</t>
  </si>
  <si>
    <t>Riya</t>
  </si>
  <si>
    <t>Returning</t>
  </si>
  <si>
    <t>VIP</t>
  </si>
  <si>
    <t>New</t>
  </si>
  <si>
    <t>YEAR</t>
  </si>
  <si>
    <t>MONTH</t>
  </si>
  <si>
    <t>PROFIT MARGIN</t>
  </si>
  <si>
    <t>TOTAL TRANSACTION</t>
  </si>
  <si>
    <t>TOTAL  REVENUE</t>
  </si>
  <si>
    <t>AVERAGE PROFIT MARGIN</t>
  </si>
  <si>
    <t>KPI Summary Metrics</t>
  </si>
  <si>
    <t>UPPER_CASE</t>
  </si>
  <si>
    <t>FIRST NAME</t>
  </si>
  <si>
    <t xml:space="preserve">HIGH-VALUE CUSTOMER </t>
  </si>
  <si>
    <t>TOP 10 HIGH-VALUE CUSTOMER BY REVENUE</t>
  </si>
  <si>
    <t>UNIQUE CUSTOMER LIST</t>
  </si>
  <si>
    <t xml:space="preserve">MOST PURCHASED PRODUCT </t>
  </si>
  <si>
    <t>TOTAL COST</t>
  </si>
  <si>
    <t>TOTAL PROFIT</t>
  </si>
  <si>
    <t>TOTAL QUANTITY</t>
  </si>
  <si>
    <t xml:space="preserve">AVERAGE RATING </t>
  </si>
  <si>
    <t>NAME</t>
  </si>
  <si>
    <t>PROFIT</t>
  </si>
  <si>
    <t>QUANTITY</t>
  </si>
  <si>
    <t>CUSTOMER TYPE</t>
  </si>
  <si>
    <t>PRODUCT ANALYSIS</t>
  </si>
  <si>
    <t>UNIQUE PRODUCT</t>
  </si>
  <si>
    <t>UNITS SOLDS</t>
  </si>
  <si>
    <t>PRODUCT REVENUE</t>
  </si>
  <si>
    <t>PRODUCT PROFIT</t>
  </si>
  <si>
    <t>PURCHASE FREQUENCY</t>
  </si>
  <si>
    <t>AVERAGE RATING</t>
  </si>
  <si>
    <t>Row Labels</t>
  </si>
  <si>
    <t>Grand Total</t>
  </si>
  <si>
    <t>Sum of Revenue</t>
  </si>
  <si>
    <t>Sum of Quantity</t>
  </si>
  <si>
    <t>PIVOT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</si>
</sst>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 Unicode MS"/>
    </font>
    <font>
      <b/>
      <sz val="14"/>
      <color rgb="FF00B05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-0.49998474074526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3" borderId="0" xfId="0" applyFill="1"/>
    <xf numFmtId="0" fontId="7" fillId="0" borderId="0" xfId="0" applyFont="1"/>
    <xf numFmtId="0" fontId="9" fillId="4" borderId="0" xfId="0" applyFont="1" applyFill="1"/>
    <xf numFmtId="0" fontId="3" fillId="5" borderId="3" xfId="0" applyFont="1" applyFill="1" applyBorder="1" applyAlignment="1">
      <alignment horizontal="left" vertical="center"/>
    </xf>
    <xf numFmtId="0" fontId="3" fillId="0" borderId="3" xfId="0" applyFont="1" applyBorder="1"/>
    <xf numFmtId="0" fontId="3" fillId="5" borderId="3" xfId="0" applyFont="1" applyFill="1" applyBorder="1" applyAlignment="1">
      <alignment horizontal="left"/>
    </xf>
    <xf numFmtId="0" fontId="3" fillId="5" borderId="3" xfId="0" applyFont="1" applyFill="1" applyBorder="1"/>
    <xf numFmtId="0" fontId="5" fillId="0" borderId="3" xfId="0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/>
    <xf numFmtId="0" fontId="0" fillId="0" borderId="5" xfId="0" applyBorder="1"/>
    <xf numFmtId="0" fontId="0" fillId="0" borderId="1" xfId="0" applyBorder="1"/>
    <xf numFmtId="0" fontId="0" fillId="0" borderId="2" xfId="0" applyBorder="1"/>
    <xf numFmtId="0" fontId="0" fillId="0" borderId="0" xfId="0" pivotButton="1"/>
    <xf numFmtId="0" fontId="0" fillId="0" borderId="0" xfId="0" applyAlignment="1">
      <alignment horizontal="left" indent="1"/>
    </xf>
    <xf numFmtId="0" fontId="0" fillId="7" borderId="0" xfId="0" applyFill="1" applyAlignment="1">
      <alignment horizontal="left"/>
    </xf>
    <xf numFmtId="0" fontId="0" fillId="7" borderId="0" xfId="0" applyFill="1"/>
    <xf numFmtId="0" fontId="1" fillId="4" borderId="1" xfId="0" applyFont="1" applyFill="1" applyBorder="1" applyAlignment="1">
      <alignment horizontal="center" vertical="top"/>
    </xf>
    <xf numFmtId="0" fontId="3" fillId="4" borderId="3" xfId="0" applyFont="1" applyFill="1" applyBorder="1"/>
    <xf numFmtId="0" fontId="0" fillId="4" borderId="0" xfId="0" applyFill="1" applyAlignment="1">
      <alignment horizontal="left"/>
    </xf>
    <xf numFmtId="0" fontId="0" fillId="4" borderId="0" xfId="0" applyFill="1"/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12" fillId="8" borderId="0" xfId="0" applyFont="1" applyFill="1" applyAlignment="1">
      <alignment horizontal="center"/>
    </xf>
  </cellXfs>
  <cellStyles count="1">
    <cellStyle name="Normal" xfId="0" builtinId="0"/>
  </cellStyles>
  <dxfs count="28">
    <dxf>
      <font>
        <b/>
        <i val="0"/>
        <u val="none"/>
        <color rgb="FFC00000"/>
      </font>
    </dxf>
    <dxf>
      <font>
        <b/>
        <i val="0"/>
        <strike val="0"/>
        <u/>
        <color rgb="FFC00000"/>
      </font>
    </dxf>
    <dxf>
      <font>
        <b/>
        <i val="0"/>
        <color rgb="FFC00000"/>
      </font>
    </dxf>
    <dxf>
      <font>
        <b val="0"/>
        <i/>
        <color rgb="FFC00000"/>
      </font>
      <fill>
        <gradientFill type="path" degree="180" left="0.5" right="0.5" top="0.5" bottom="0.5">
          <stop position="0">
            <color theme="0" tint="-5.0965910824915313E-2"/>
          </stop>
          <stop position="1">
            <color theme="0" tint="-0.1490218817712943"/>
          </stop>
        </gradientFill>
      </fill>
    </dxf>
    <dxf>
      <font>
        <b/>
        <i val="0"/>
        <color rgb="FFC00000"/>
      </font>
      <fill>
        <patternFill>
          <bgColor theme="0"/>
        </patternFill>
      </fill>
    </dxf>
    <dxf>
      <font>
        <b/>
        <i val="0"/>
        <color rgb="FFC00000"/>
      </font>
      <fill>
        <patternFill>
          <bgColor theme="0"/>
        </patternFill>
      </fill>
    </dxf>
    <dxf>
      <font>
        <b/>
        <i val="0"/>
        <u val="none"/>
        <color rgb="FFC00000"/>
      </font>
    </dxf>
    <dxf>
      <font>
        <b/>
        <i val="0"/>
        <strike val="0"/>
        <u/>
        <color rgb="FFC00000"/>
      </font>
    </dxf>
    <dxf>
      <font>
        <b/>
        <i val="0"/>
        <color rgb="FFC00000"/>
      </font>
    </dxf>
    <dxf>
      <font>
        <b val="0"/>
        <i/>
        <color rgb="FFC00000"/>
      </font>
      <fill>
        <gradientFill type="path" degree="180" left="0.5" right="0.5" top="0.5" bottom="0.5">
          <stop position="0">
            <color theme="0" tint="-5.0965910824915313E-2"/>
          </stop>
          <stop position="1">
            <color theme="0" tint="-0.1490218817712943"/>
          </stop>
        </gradientFill>
      </fill>
    </dxf>
    <dxf>
      <font>
        <b/>
        <i val="0"/>
        <color rgb="FFC00000"/>
      </font>
      <fill>
        <patternFill>
          <bgColor theme="0"/>
        </patternFill>
      </fill>
    </dxf>
    <dxf>
      <font>
        <b/>
        <i val="0"/>
        <u val="none"/>
        <color rgb="FFC00000"/>
      </font>
    </dxf>
    <dxf>
      <font>
        <b/>
        <i val="0"/>
        <strike val="0"/>
        <u/>
        <color rgb="FFC00000"/>
      </font>
    </dxf>
    <dxf>
      <font>
        <b/>
        <i val="0"/>
        <color rgb="FFC00000"/>
      </font>
    </dxf>
    <dxf>
      <font>
        <b val="0"/>
        <i/>
        <color rgb="FFC00000"/>
      </font>
      <fill>
        <gradientFill type="path" degree="180" left="0.5" right="0.5" top="0.5" bottom="0.5">
          <stop position="0">
            <color theme="0" tint="-5.0965910824915313E-2"/>
          </stop>
          <stop position="1">
            <color theme="0" tint="-0.1490218817712943"/>
          </stop>
        </gradient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PROJECT.xlsx]PIVOT TABLE!PivotTable3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TABLE'!$B$4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TABLE'!$A$5:$A$39</c:f>
              <c:multiLvlStrCache>
                <c:ptCount val="32"/>
                <c:lvl>
                  <c:pt idx="0">
                    <c:v>Air Fryer</c:v>
                  </c:pt>
                  <c:pt idx="1">
                    <c:v>Backpack</c:v>
                  </c:pt>
                  <c:pt idx="2">
                    <c:v>Coffee</c:v>
                  </c:pt>
                  <c:pt idx="3">
                    <c:v>Dry Fruits</c:v>
                  </c:pt>
                  <c:pt idx="4">
                    <c:v>Face Wash</c:v>
                  </c:pt>
                  <c:pt idx="5">
                    <c:v>Green Tea</c:v>
                  </c:pt>
                  <c:pt idx="6">
                    <c:v>Jeans</c:v>
                  </c:pt>
                  <c:pt idx="7">
                    <c:v>Laptop</c:v>
                  </c:pt>
                  <c:pt idx="8">
                    <c:v>Mixer Grinder</c:v>
                  </c:pt>
                  <c:pt idx="9">
                    <c:v>Shampoo</c:v>
                  </c:pt>
                  <c:pt idx="10">
                    <c:v>Smartphone</c:v>
                  </c:pt>
                  <c:pt idx="11">
                    <c:v>Smartwatch</c:v>
                  </c:pt>
                  <c:pt idx="12">
                    <c:v>T-Shirt</c:v>
                  </c:pt>
                  <c:pt idx="13">
                    <c:v>Vacuum Cleaner</c:v>
                  </c:pt>
                  <c:pt idx="14">
                    <c:v>Air Fryer</c:v>
                  </c:pt>
                  <c:pt idx="15">
                    <c:v>Backpack</c:v>
                  </c:pt>
                  <c:pt idx="16">
                    <c:v>Coffee</c:v>
                  </c:pt>
                  <c:pt idx="17">
                    <c:v>Dry Fruits</c:v>
                  </c:pt>
                  <c:pt idx="18">
                    <c:v>Face Wash</c:v>
                  </c:pt>
                  <c:pt idx="19">
                    <c:v>Green Tea</c:v>
                  </c:pt>
                  <c:pt idx="20">
                    <c:v>Headphones</c:v>
                  </c:pt>
                  <c:pt idx="21">
                    <c:v>Jeans</c:v>
                  </c:pt>
                  <c:pt idx="22">
                    <c:v>Laptop</c:v>
                  </c:pt>
                  <c:pt idx="23">
                    <c:v>Protein Bar</c:v>
                  </c:pt>
                  <c:pt idx="24">
                    <c:v>Shampoo</c:v>
                  </c:pt>
                  <c:pt idx="25">
                    <c:v>Skin Care Kit</c:v>
                  </c:pt>
                  <c:pt idx="26">
                    <c:v>Smartphone</c:v>
                  </c:pt>
                  <c:pt idx="27">
                    <c:v>Smartwatch</c:v>
                  </c:pt>
                  <c:pt idx="28">
                    <c:v>Sneakers</c:v>
                  </c:pt>
                  <c:pt idx="29">
                    <c:v>Table Lamp</c:v>
                  </c:pt>
                  <c:pt idx="30">
                    <c:v>T-Shirt</c:v>
                  </c:pt>
                  <c:pt idx="31">
                    <c:v>Vacuum Cleaner</c:v>
                  </c:pt>
                </c:lvl>
                <c:lvl>
                  <c:pt idx="0">
                    <c:v>North</c:v>
                  </c:pt>
                  <c:pt idx="14">
                    <c:v>West</c:v>
                  </c:pt>
                </c:lvl>
              </c:multiLvlStrCache>
            </c:multiLvlStrRef>
          </c:cat>
          <c:val>
            <c:numRef>
              <c:f>'PIVOT TABLE'!$B$5:$B$39</c:f>
              <c:numCache>
                <c:formatCode>General</c:formatCode>
                <c:ptCount val="32"/>
                <c:pt idx="0">
                  <c:v>63177.349999999991</c:v>
                </c:pt>
                <c:pt idx="1">
                  <c:v>4428.1899999999996</c:v>
                </c:pt>
                <c:pt idx="2">
                  <c:v>2651.6499999999996</c:v>
                </c:pt>
                <c:pt idx="3">
                  <c:v>814.64</c:v>
                </c:pt>
                <c:pt idx="4">
                  <c:v>2102.9</c:v>
                </c:pt>
                <c:pt idx="5">
                  <c:v>1141.6299999999999</c:v>
                </c:pt>
                <c:pt idx="6">
                  <c:v>3631.2</c:v>
                </c:pt>
                <c:pt idx="7">
                  <c:v>1197316.7</c:v>
                </c:pt>
                <c:pt idx="8">
                  <c:v>37097.520000000004</c:v>
                </c:pt>
                <c:pt idx="9">
                  <c:v>5003.6000000000004</c:v>
                </c:pt>
                <c:pt idx="10">
                  <c:v>507557.11</c:v>
                </c:pt>
                <c:pt idx="11">
                  <c:v>41335.170000000006</c:v>
                </c:pt>
                <c:pt idx="12">
                  <c:v>3819.68</c:v>
                </c:pt>
                <c:pt idx="13">
                  <c:v>36551.56</c:v>
                </c:pt>
                <c:pt idx="14">
                  <c:v>56070.11</c:v>
                </c:pt>
                <c:pt idx="15">
                  <c:v>13662.92</c:v>
                </c:pt>
                <c:pt idx="16">
                  <c:v>1189.1099999999999</c:v>
                </c:pt>
                <c:pt idx="17">
                  <c:v>12722.02</c:v>
                </c:pt>
                <c:pt idx="18">
                  <c:v>3283.21</c:v>
                </c:pt>
                <c:pt idx="19">
                  <c:v>1605.87</c:v>
                </c:pt>
                <c:pt idx="20">
                  <c:v>21816.32</c:v>
                </c:pt>
                <c:pt idx="21">
                  <c:v>23336.799999999999</c:v>
                </c:pt>
                <c:pt idx="22">
                  <c:v>1067668.8500000001</c:v>
                </c:pt>
                <c:pt idx="23">
                  <c:v>1150.78</c:v>
                </c:pt>
                <c:pt idx="24">
                  <c:v>2783.84</c:v>
                </c:pt>
                <c:pt idx="25">
                  <c:v>3078.09</c:v>
                </c:pt>
                <c:pt idx="26">
                  <c:v>312514.72000000003</c:v>
                </c:pt>
                <c:pt idx="27">
                  <c:v>90393.64</c:v>
                </c:pt>
                <c:pt idx="28">
                  <c:v>52754.909999999996</c:v>
                </c:pt>
                <c:pt idx="29">
                  <c:v>6687.26</c:v>
                </c:pt>
                <c:pt idx="30">
                  <c:v>6847.5599999999995</c:v>
                </c:pt>
                <c:pt idx="31">
                  <c:v>55366.59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05-41F0-A95D-72A5AB6E07B0}"/>
            </c:ext>
          </c:extLst>
        </c:ser>
        <c:ser>
          <c:idx val="1"/>
          <c:order val="1"/>
          <c:tx>
            <c:strRef>
              <c:f>'PIVOT TABLE'!$C$4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'PIVOT TABLE'!$A$5:$A$39</c:f>
              <c:multiLvlStrCache>
                <c:ptCount val="32"/>
                <c:lvl>
                  <c:pt idx="0">
                    <c:v>Air Fryer</c:v>
                  </c:pt>
                  <c:pt idx="1">
                    <c:v>Backpack</c:v>
                  </c:pt>
                  <c:pt idx="2">
                    <c:v>Coffee</c:v>
                  </c:pt>
                  <c:pt idx="3">
                    <c:v>Dry Fruits</c:v>
                  </c:pt>
                  <c:pt idx="4">
                    <c:v>Face Wash</c:v>
                  </c:pt>
                  <c:pt idx="5">
                    <c:v>Green Tea</c:v>
                  </c:pt>
                  <c:pt idx="6">
                    <c:v>Jeans</c:v>
                  </c:pt>
                  <c:pt idx="7">
                    <c:v>Laptop</c:v>
                  </c:pt>
                  <c:pt idx="8">
                    <c:v>Mixer Grinder</c:v>
                  </c:pt>
                  <c:pt idx="9">
                    <c:v>Shampoo</c:v>
                  </c:pt>
                  <c:pt idx="10">
                    <c:v>Smartphone</c:v>
                  </c:pt>
                  <c:pt idx="11">
                    <c:v>Smartwatch</c:v>
                  </c:pt>
                  <c:pt idx="12">
                    <c:v>T-Shirt</c:v>
                  </c:pt>
                  <c:pt idx="13">
                    <c:v>Vacuum Cleaner</c:v>
                  </c:pt>
                  <c:pt idx="14">
                    <c:v>Air Fryer</c:v>
                  </c:pt>
                  <c:pt idx="15">
                    <c:v>Backpack</c:v>
                  </c:pt>
                  <c:pt idx="16">
                    <c:v>Coffee</c:v>
                  </c:pt>
                  <c:pt idx="17">
                    <c:v>Dry Fruits</c:v>
                  </c:pt>
                  <c:pt idx="18">
                    <c:v>Face Wash</c:v>
                  </c:pt>
                  <c:pt idx="19">
                    <c:v>Green Tea</c:v>
                  </c:pt>
                  <c:pt idx="20">
                    <c:v>Headphones</c:v>
                  </c:pt>
                  <c:pt idx="21">
                    <c:v>Jeans</c:v>
                  </c:pt>
                  <c:pt idx="22">
                    <c:v>Laptop</c:v>
                  </c:pt>
                  <c:pt idx="23">
                    <c:v>Protein Bar</c:v>
                  </c:pt>
                  <c:pt idx="24">
                    <c:v>Shampoo</c:v>
                  </c:pt>
                  <c:pt idx="25">
                    <c:v>Skin Care Kit</c:v>
                  </c:pt>
                  <c:pt idx="26">
                    <c:v>Smartphone</c:v>
                  </c:pt>
                  <c:pt idx="27">
                    <c:v>Smartwatch</c:v>
                  </c:pt>
                  <c:pt idx="28">
                    <c:v>Sneakers</c:v>
                  </c:pt>
                  <c:pt idx="29">
                    <c:v>Table Lamp</c:v>
                  </c:pt>
                  <c:pt idx="30">
                    <c:v>T-Shirt</c:v>
                  </c:pt>
                  <c:pt idx="31">
                    <c:v>Vacuum Cleaner</c:v>
                  </c:pt>
                </c:lvl>
                <c:lvl>
                  <c:pt idx="0">
                    <c:v>North</c:v>
                  </c:pt>
                  <c:pt idx="14">
                    <c:v>West</c:v>
                  </c:pt>
                </c:lvl>
              </c:multiLvlStrCache>
            </c:multiLvlStrRef>
          </c:cat>
          <c:val>
            <c:numRef>
              <c:f>'PIVOT TABLE'!$C$5:$C$39</c:f>
              <c:numCache>
                <c:formatCode>General</c:formatCode>
                <c:ptCount val="32"/>
                <c:pt idx="0">
                  <c:v>11</c:v>
                </c:pt>
                <c:pt idx="1">
                  <c:v>3</c:v>
                </c:pt>
                <c:pt idx="2">
                  <c:v>6</c:v>
                </c:pt>
                <c:pt idx="3">
                  <c:v>1</c:v>
                </c:pt>
                <c:pt idx="4">
                  <c:v>5</c:v>
                </c:pt>
                <c:pt idx="5">
                  <c:v>4</c:v>
                </c:pt>
                <c:pt idx="6">
                  <c:v>2</c:v>
                </c:pt>
                <c:pt idx="7">
                  <c:v>23</c:v>
                </c:pt>
                <c:pt idx="8">
                  <c:v>12</c:v>
                </c:pt>
                <c:pt idx="9">
                  <c:v>10</c:v>
                </c:pt>
                <c:pt idx="10">
                  <c:v>17</c:v>
                </c:pt>
                <c:pt idx="11">
                  <c:v>9</c:v>
                </c:pt>
                <c:pt idx="12">
                  <c:v>5</c:v>
                </c:pt>
                <c:pt idx="13">
                  <c:v>4</c:v>
                </c:pt>
                <c:pt idx="14">
                  <c:v>9</c:v>
                </c:pt>
                <c:pt idx="15">
                  <c:v>10</c:v>
                </c:pt>
                <c:pt idx="16">
                  <c:v>3</c:v>
                </c:pt>
                <c:pt idx="17">
                  <c:v>15</c:v>
                </c:pt>
                <c:pt idx="18">
                  <c:v>8</c:v>
                </c:pt>
                <c:pt idx="19">
                  <c:v>6</c:v>
                </c:pt>
                <c:pt idx="20">
                  <c:v>9</c:v>
                </c:pt>
                <c:pt idx="21">
                  <c:v>14</c:v>
                </c:pt>
                <c:pt idx="22">
                  <c:v>21</c:v>
                </c:pt>
                <c:pt idx="23">
                  <c:v>5</c:v>
                </c:pt>
                <c:pt idx="24">
                  <c:v>5</c:v>
                </c:pt>
                <c:pt idx="25">
                  <c:v>3</c:v>
                </c:pt>
                <c:pt idx="26">
                  <c:v>12</c:v>
                </c:pt>
                <c:pt idx="27">
                  <c:v>20</c:v>
                </c:pt>
                <c:pt idx="28">
                  <c:v>20</c:v>
                </c:pt>
                <c:pt idx="29">
                  <c:v>4</c:v>
                </c:pt>
                <c:pt idx="30">
                  <c:v>9</c:v>
                </c:pt>
                <c:pt idx="3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05-41F0-A95D-72A5AB6E07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2516032"/>
        <c:axId val="2001500880"/>
      </c:barChart>
      <c:catAx>
        <c:axId val="57251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500880"/>
        <c:crosses val="autoZero"/>
        <c:auto val="1"/>
        <c:lblAlgn val="ctr"/>
        <c:lblOffset val="100"/>
        <c:noMultiLvlLbl val="0"/>
      </c:catAx>
      <c:valAx>
        <c:axId val="200150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516032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556341081576656"/>
          <c:y val="0.11785766176535055"/>
          <c:w val="0.1618262487050405"/>
          <c:h val="0.204060741287649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[FINAL PROJECT.xlsx]PIVOT TABLE!PivotTable3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lt1"/>
                </a:solidFill>
                <a:latin typeface="+mn-lt"/>
                <a:ea typeface="+mn-ea"/>
                <a:cs typeface="+mn-cs"/>
              </a:rPr>
              <a:t>REVENUE</a:t>
            </a:r>
            <a:r>
              <a:rPr lang="en-IN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 &amp; QUANTITY BY PRODUCT &amp; REGION  </a:t>
            </a:r>
          </a:p>
        </c:rich>
      </c:tx>
      <c:layout>
        <c:manualLayout>
          <c:xMode val="edge"/>
          <c:yMode val="edge"/>
          <c:x val="0.14774585263456241"/>
          <c:y val="7.6426632915089637E-2"/>
        </c:manualLayout>
      </c:layout>
      <c:overlay val="0"/>
      <c:spPr>
        <a:gradFill rotWithShape="1">
          <a:gsLst>
            <a:gs pos="0">
              <a:schemeClr val="accent2">
                <a:shade val="51000"/>
                <a:satMod val="130000"/>
              </a:schemeClr>
            </a:gs>
            <a:gs pos="80000">
              <a:schemeClr val="accent2">
                <a:shade val="93000"/>
                <a:satMod val="130000"/>
              </a:schemeClr>
            </a:gs>
            <a:gs pos="100000">
              <a:schemeClr val="accent2">
                <a:shade val="94000"/>
                <a:satMod val="135000"/>
              </a:schemeClr>
            </a:gs>
          </a:gsLst>
          <a:lin ang="16200000" scaled="0"/>
        </a:gradFill>
        <a:ln w="9525" cap="flat" cmpd="sng" algn="ctr">
          <a:solidFill>
            <a:schemeClr val="accent2">
              <a:shade val="95000"/>
              <a:satMod val="10500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2"/>
              </a:gs>
              <a:gs pos="0">
                <a:schemeClr val="accent2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pPr>
            <a:solidFill>
              <a:schemeClr val="accent2">
                <a:shade val="76000"/>
              </a:schemeClr>
            </a:solidFill>
            <a:ln w="9525">
              <a:solidFill>
                <a:schemeClr val="accent2">
                  <a:shade val="76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chemeClr val="accent2"/>
              </a:gs>
              <a:gs pos="0">
                <a:schemeClr val="accent2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pPr>
            <a:solidFill>
              <a:schemeClr val="accent2">
                <a:tint val="77000"/>
              </a:schemeClr>
            </a:solidFill>
            <a:ln w="9525">
              <a:solidFill>
                <a:schemeClr val="accent2">
                  <a:tint val="77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chemeClr val="accent2"/>
              </a:gs>
              <a:gs pos="0">
                <a:schemeClr val="accent2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100000">
                <a:schemeClr val="accent2"/>
              </a:gs>
              <a:gs pos="0">
                <a:schemeClr val="accent2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100000">
                <a:schemeClr val="accent2"/>
              </a:gs>
              <a:gs pos="0">
                <a:schemeClr val="accent2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100000">
                <a:schemeClr val="accent2"/>
              </a:gs>
              <a:gs pos="0">
                <a:schemeClr val="accent2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9725132783598902E-2"/>
          <c:y val="0.1651906436734048"/>
          <c:w val="0.66229950033342044"/>
          <c:h val="0.54597484936447638"/>
        </c:manualLayout>
      </c:layout>
      <c:areaChart>
        <c:grouping val="stacked"/>
        <c:varyColors val="0"/>
        <c:ser>
          <c:idx val="0"/>
          <c:order val="0"/>
          <c:tx>
            <c:strRef>
              <c:f>'PIVOT TABLE'!$B$4</c:f>
              <c:strCache>
                <c:ptCount val="1"/>
                <c:pt idx="0">
                  <c:v>Sum of Revenue</c:v>
                </c:pt>
              </c:strCache>
            </c:strRef>
          </c:tx>
          <c:spPr>
            <a:gradFill>
              <a:gsLst>
                <a:gs pos="100000">
                  <a:schemeClr val="accent2">
                    <a:shade val="76000"/>
                  </a:schemeClr>
                </a:gs>
                <a:gs pos="0">
                  <a:schemeClr val="accent2">
                    <a:shade val="76000"/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'PIVOT TABLE'!$A$5:$A$39</c:f>
              <c:multiLvlStrCache>
                <c:ptCount val="32"/>
                <c:lvl>
                  <c:pt idx="0">
                    <c:v>Air Fryer</c:v>
                  </c:pt>
                  <c:pt idx="1">
                    <c:v>Backpack</c:v>
                  </c:pt>
                  <c:pt idx="2">
                    <c:v>Coffee</c:v>
                  </c:pt>
                  <c:pt idx="3">
                    <c:v>Dry Fruits</c:v>
                  </c:pt>
                  <c:pt idx="4">
                    <c:v>Face Wash</c:v>
                  </c:pt>
                  <c:pt idx="5">
                    <c:v>Green Tea</c:v>
                  </c:pt>
                  <c:pt idx="6">
                    <c:v>Jeans</c:v>
                  </c:pt>
                  <c:pt idx="7">
                    <c:v>Laptop</c:v>
                  </c:pt>
                  <c:pt idx="8">
                    <c:v>Mixer Grinder</c:v>
                  </c:pt>
                  <c:pt idx="9">
                    <c:v>Shampoo</c:v>
                  </c:pt>
                  <c:pt idx="10">
                    <c:v>Smartphone</c:v>
                  </c:pt>
                  <c:pt idx="11">
                    <c:v>Smartwatch</c:v>
                  </c:pt>
                  <c:pt idx="12">
                    <c:v>T-Shirt</c:v>
                  </c:pt>
                  <c:pt idx="13">
                    <c:v>Vacuum Cleaner</c:v>
                  </c:pt>
                  <c:pt idx="14">
                    <c:v>Air Fryer</c:v>
                  </c:pt>
                  <c:pt idx="15">
                    <c:v>Backpack</c:v>
                  </c:pt>
                  <c:pt idx="16">
                    <c:v>Coffee</c:v>
                  </c:pt>
                  <c:pt idx="17">
                    <c:v>Dry Fruits</c:v>
                  </c:pt>
                  <c:pt idx="18">
                    <c:v>Face Wash</c:v>
                  </c:pt>
                  <c:pt idx="19">
                    <c:v>Green Tea</c:v>
                  </c:pt>
                  <c:pt idx="20">
                    <c:v>Headphones</c:v>
                  </c:pt>
                  <c:pt idx="21">
                    <c:v>Jeans</c:v>
                  </c:pt>
                  <c:pt idx="22">
                    <c:v>Laptop</c:v>
                  </c:pt>
                  <c:pt idx="23">
                    <c:v>Protein Bar</c:v>
                  </c:pt>
                  <c:pt idx="24">
                    <c:v>Shampoo</c:v>
                  </c:pt>
                  <c:pt idx="25">
                    <c:v>Skin Care Kit</c:v>
                  </c:pt>
                  <c:pt idx="26">
                    <c:v>Smartphone</c:v>
                  </c:pt>
                  <c:pt idx="27">
                    <c:v>Smartwatch</c:v>
                  </c:pt>
                  <c:pt idx="28">
                    <c:v>Sneakers</c:v>
                  </c:pt>
                  <c:pt idx="29">
                    <c:v>Table Lamp</c:v>
                  </c:pt>
                  <c:pt idx="30">
                    <c:v>T-Shirt</c:v>
                  </c:pt>
                  <c:pt idx="31">
                    <c:v>Vacuum Cleaner</c:v>
                  </c:pt>
                </c:lvl>
                <c:lvl>
                  <c:pt idx="0">
                    <c:v>North</c:v>
                  </c:pt>
                  <c:pt idx="14">
                    <c:v>West</c:v>
                  </c:pt>
                </c:lvl>
              </c:multiLvlStrCache>
            </c:multiLvlStrRef>
          </c:cat>
          <c:val>
            <c:numRef>
              <c:f>'PIVOT TABLE'!$B$5:$B$39</c:f>
              <c:numCache>
                <c:formatCode>General</c:formatCode>
                <c:ptCount val="32"/>
                <c:pt idx="0">
                  <c:v>63177.349999999991</c:v>
                </c:pt>
                <c:pt idx="1">
                  <c:v>4428.1899999999996</c:v>
                </c:pt>
                <c:pt idx="2">
                  <c:v>2651.6499999999996</c:v>
                </c:pt>
                <c:pt idx="3">
                  <c:v>814.64</c:v>
                </c:pt>
                <c:pt idx="4">
                  <c:v>2102.9</c:v>
                </c:pt>
                <c:pt idx="5">
                  <c:v>1141.6299999999999</c:v>
                </c:pt>
                <c:pt idx="6">
                  <c:v>3631.2</c:v>
                </c:pt>
                <c:pt idx="7">
                  <c:v>1197316.7</c:v>
                </c:pt>
                <c:pt idx="8">
                  <c:v>37097.520000000004</c:v>
                </c:pt>
                <c:pt idx="9">
                  <c:v>5003.6000000000004</c:v>
                </c:pt>
                <c:pt idx="10">
                  <c:v>507557.11</c:v>
                </c:pt>
                <c:pt idx="11">
                  <c:v>41335.170000000006</c:v>
                </c:pt>
                <c:pt idx="12">
                  <c:v>3819.68</c:v>
                </c:pt>
                <c:pt idx="13">
                  <c:v>36551.56</c:v>
                </c:pt>
                <c:pt idx="14">
                  <c:v>56070.11</c:v>
                </c:pt>
                <c:pt idx="15">
                  <c:v>13662.92</c:v>
                </c:pt>
                <c:pt idx="16">
                  <c:v>1189.1099999999999</c:v>
                </c:pt>
                <c:pt idx="17">
                  <c:v>12722.02</c:v>
                </c:pt>
                <c:pt idx="18">
                  <c:v>3283.21</c:v>
                </c:pt>
                <c:pt idx="19">
                  <c:v>1605.87</c:v>
                </c:pt>
                <c:pt idx="20">
                  <c:v>21816.32</c:v>
                </c:pt>
                <c:pt idx="21">
                  <c:v>23336.799999999999</c:v>
                </c:pt>
                <c:pt idx="22">
                  <c:v>1067668.8500000001</c:v>
                </c:pt>
                <c:pt idx="23">
                  <c:v>1150.78</c:v>
                </c:pt>
                <c:pt idx="24">
                  <c:v>2783.84</c:v>
                </c:pt>
                <c:pt idx="25">
                  <c:v>3078.09</c:v>
                </c:pt>
                <c:pt idx="26">
                  <c:v>312514.72000000003</c:v>
                </c:pt>
                <c:pt idx="27">
                  <c:v>90393.64</c:v>
                </c:pt>
                <c:pt idx="28">
                  <c:v>52754.909999999996</c:v>
                </c:pt>
                <c:pt idx="29">
                  <c:v>6687.26</c:v>
                </c:pt>
                <c:pt idx="30">
                  <c:v>6847.5599999999995</c:v>
                </c:pt>
                <c:pt idx="31">
                  <c:v>55366.59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09-497B-A6DF-7387470C944E}"/>
            </c:ext>
          </c:extLst>
        </c:ser>
        <c:ser>
          <c:idx val="1"/>
          <c:order val="1"/>
          <c:tx>
            <c:strRef>
              <c:f>'PIVOT TABLE'!$C$4</c:f>
              <c:strCache>
                <c:ptCount val="1"/>
                <c:pt idx="0">
                  <c:v>Sum of Quantity</c:v>
                </c:pt>
              </c:strCache>
            </c:strRef>
          </c:tx>
          <c:spPr>
            <a:gradFill>
              <a:gsLst>
                <a:gs pos="100000">
                  <a:schemeClr val="accent2">
                    <a:tint val="77000"/>
                  </a:schemeClr>
                </a:gs>
                <a:gs pos="0">
                  <a:schemeClr val="accent2">
                    <a:tint val="77000"/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'PIVOT TABLE'!$A$5:$A$39</c:f>
              <c:multiLvlStrCache>
                <c:ptCount val="32"/>
                <c:lvl>
                  <c:pt idx="0">
                    <c:v>Air Fryer</c:v>
                  </c:pt>
                  <c:pt idx="1">
                    <c:v>Backpack</c:v>
                  </c:pt>
                  <c:pt idx="2">
                    <c:v>Coffee</c:v>
                  </c:pt>
                  <c:pt idx="3">
                    <c:v>Dry Fruits</c:v>
                  </c:pt>
                  <c:pt idx="4">
                    <c:v>Face Wash</c:v>
                  </c:pt>
                  <c:pt idx="5">
                    <c:v>Green Tea</c:v>
                  </c:pt>
                  <c:pt idx="6">
                    <c:v>Jeans</c:v>
                  </c:pt>
                  <c:pt idx="7">
                    <c:v>Laptop</c:v>
                  </c:pt>
                  <c:pt idx="8">
                    <c:v>Mixer Grinder</c:v>
                  </c:pt>
                  <c:pt idx="9">
                    <c:v>Shampoo</c:v>
                  </c:pt>
                  <c:pt idx="10">
                    <c:v>Smartphone</c:v>
                  </c:pt>
                  <c:pt idx="11">
                    <c:v>Smartwatch</c:v>
                  </c:pt>
                  <c:pt idx="12">
                    <c:v>T-Shirt</c:v>
                  </c:pt>
                  <c:pt idx="13">
                    <c:v>Vacuum Cleaner</c:v>
                  </c:pt>
                  <c:pt idx="14">
                    <c:v>Air Fryer</c:v>
                  </c:pt>
                  <c:pt idx="15">
                    <c:v>Backpack</c:v>
                  </c:pt>
                  <c:pt idx="16">
                    <c:v>Coffee</c:v>
                  </c:pt>
                  <c:pt idx="17">
                    <c:v>Dry Fruits</c:v>
                  </c:pt>
                  <c:pt idx="18">
                    <c:v>Face Wash</c:v>
                  </c:pt>
                  <c:pt idx="19">
                    <c:v>Green Tea</c:v>
                  </c:pt>
                  <c:pt idx="20">
                    <c:v>Headphones</c:v>
                  </c:pt>
                  <c:pt idx="21">
                    <c:v>Jeans</c:v>
                  </c:pt>
                  <c:pt idx="22">
                    <c:v>Laptop</c:v>
                  </c:pt>
                  <c:pt idx="23">
                    <c:v>Protein Bar</c:v>
                  </c:pt>
                  <c:pt idx="24">
                    <c:v>Shampoo</c:v>
                  </c:pt>
                  <c:pt idx="25">
                    <c:v>Skin Care Kit</c:v>
                  </c:pt>
                  <c:pt idx="26">
                    <c:v>Smartphone</c:v>
                  </c:pt>
                  <c:pt idx="27">
                    <c:v>Smartwatch</c:v>
                  </c:pt>
                  <c:pt idx="28">
                    <c:v>Sneakers</c:v>
                  </c:pt>
                  <c:pt idx="29">
                    <c:v>Table Lamp</c:v>
                  </c:pt>
                  <c:pt idx="30">
                    <c:v>T-Shirt</c:v>
                  </c:pt>
                  <c:pt idx="31">
                    <c:v>Vacuum Cleaner</c:v>
                  </c:pt>
                </c:lvl>
                <c:lvl>
                  <c:pt idx="0">
                    <c:v>North</c:v>
                  </c:pt>
                  <c:pt idx="14">
                    <c:v>West</c:v>
                  </c:pt>
                </c:lvl>
              </c:multiLvlStrCache>
            </c:multiLvlStrRef>
          </c:cat>
          <c:val>
            <c:numRef>
              <c:f>'PIVOT TABLE'!$C$5:$C$39</c:f>
              <c:numCache>
                <c:formatCode>General</c:formatCode>
                <c:ptCount val="32"/>
                <c:pt idx="0">
                  <c:v>11</c:v>
                </c:pt>
                <c:pt idx="1">
                  <c:v>3</c:v>
                </c:pt>
                <c:pt idx="2">
                  <c:v>6</c:v>
                </c:pt>
                <c:pt idx="3">
                  <c:v>1</c:v>
                </c:pt>
                <c:pt idx="4">
                  <c:v>5</c:v>
                </c:pt>
                <c:pt idx="5">
                  <c:v>4</c:v>
                </c:pt>
                <c:pt idx="6">
                  <c:v>2</c:v>
                </c:pt>
                <c:pt idx="7">
                  <c:v>23</c:v>
                </c:pt>
                <c:pt idx="8">
                  <c:v>12</c:v>
                </c:pt>
                <c:pt idx="9">
                  <c:v>10</c:v>
                </c:pt>
                <c:pt idx="10">
                  <c:v>17</c:v>
                </c:pt>
                <c:pt idx="11">
                  <c:v>9</c:v>
                </c:pt>
                <c:pt idx="12">
                  <c:v>5</c:v>
                </c:pt>
                <c:pt idx="13">
                  <c:v>4</c:v>
                </c:pt>
                <c:pt idx="14">
                  <c:v>9</c:v>
                </c:pt>
                <c:pt idx="15">
                  <c:v>10</c:v>
                </c:pt>
                <c:pt idx="16">
                  <c:v>3</c:v>
                </c:pt>
                <c:pt idx="17">
                  <c:v>15</c:v>
                </c:pt>
                <c:pt idx="18">
                  <c:v>8</c:v>
                </c:pt>
                <c:pt idx="19">
                  <c:v>6</c:v>
                </c:pt>
                <c:pt idx="20">
                  <c:v>9</c:v>
                </c:pt>
                <c:pt idx="21">
                  <c:v>14</c:v>
                </c:pt>
                <c:pt idx="22">
                  <c:v>21</c:v>
                </c:pt>
                <c:pt idx="23">
                  <c:v>5</c:v>
                </c:pt>
                <c:pt idx="24">
                  <c:v>5</c:v>
                </c:pt>
                <c:pt idx="25">
                  <c:v>3</c:v>
                </c:pt>
                <c:pt idx="26">
                  <c:v>12</c:v>
                </c:pt>
                <c:pt idx="27">
                  <c:v>20</c:v>
                </c:pt>
                <c:pt idx="28">
                  <c:v>20</c:v>
                </c:pt>
                <c:pt idx="29">
                  <c:v>4</c:v>
                </c:pt>
                <c:pt idx="30">
                  <c:v>9</c:v>
                </c:pt>
                <c:pt idx="3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09-497B-A6DF-7387470C94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2131715568"/>
        <c:axId val="2001514320"/>
      </c:areaChart>
      <c:catAx>
        <c:axId val="213171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514320"/>
        <c:crosses val="autoZero"/>
        <c:auto val="1"/>
        <c:lblAlgn val="ctr"/>
        <c:lblOffset val="100"/>
        <c:noMultiLvlLbl val="0"/>
      </c:catAx>
      <c:valAx>
        <c:axId val="2001514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715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710045901232082"/>
          <c:y val="0.16971207282952719"/>
          <c:w val="0.21606282002502089"/>
          <c:h val="0.202642601965170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PROJECT.xlsx]PIVOT TABLE!PivotTable3</c:name>
    <c:fmtId val="3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392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2400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Sum of Revenue</a:t>
            </a:r>
            <a:endParaRPr lang="en-US" sz="2400" baseline="0"/>
          </a:p>
        </c:rich>
      </c:tx>
      <c:layout>
        <c:manualLayout>
          <c:xMode val="edge"/>
          <c:yMode val="edge"/>
          <c:x val="0.36994489631261923"/>
          <c:y val="5.4218464448448411E-2"/>
        </c:manualLayout>
      </c:layout>
      <c:overlay val="0"/>
      <c:spPr>
        <a:solidFill>
          <a:schemeClr val="lt1"/>
        </a:solidFill>
        <a:ln w="25400" cap="flat" cmpd="sng" algn="ctr">
          <a:solidFill>
            <a:schemeClr val="dk1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92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6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6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TABLE'!$B$4</c:f>
              <c:strCache>
                <c:ptCount val="1"/>
                <c:pt idx="0">
                  <c:v>Sum of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5E1-42F5-B798-9776694A39E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5E1-42F5-B798-9776694A39E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5E1-42F5-B798-9776694A39E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5E1-42F5-B798-9776694A39E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5E1-42F5-B798-9776694A39E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5E1-42F5-B798-9776694A39E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5E1-42F5-B798-9776694A39E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5E1-42F5-B798-9776694A39E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5E1-42F5-B798-9776694A39E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5E1-42F5-B798-9776694A39E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5E1-42F5-B798-9776694A39E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5E1-42F5-B798-9776694A39E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45E1-42F5-B798-9776694A39E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45E1-42F5-B798-9776694A39E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45E1-42F5-B798-9776694A39E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45E1-42F5-B798-9776694A39E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45E1-42F5-B798-9776694A39E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45E1-42F5-B798-9776694A39E9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45E1-42F5-B798-9776694A39E9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45E1-42F5-B798-9776694A39E9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45E1-42F5-B798-9776694A39E9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45E1-42F5-B798-9776694A39E9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45E1-42F5-B798-9776694A39E9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45E1-42F5-B798-9776694A39E9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45E1-42F5-B798-9776694A39E9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45E1-42F5-B798-9776694A39E9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45E1-42F5-B798-9776694A39E9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45E1-42F5-B798-9776694A39E9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45E1-42F5-B798-9776694A39E9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45E1-42F5-B798-9776694A39E9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45E1-42F5-B798-9776694A39E9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45E1-42F5-B798-9776694A39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6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'PIVOT TABLE'!$A$5:$A$39</c:f>
              <c:multiLvlStrCache>
                <c:ptCount val="32"/>
                <c:lvl>
                  <c:pt idx="0">
                    <c:v>Air Fryer</c:v>
                  </c:pt>
                  <c:pt idx="1">
                    <c:v>Backpack</c:v>
                  </c:pt>
                  <c:pt idx="2">
                    <c:v>Coffee</c:v>
                  </c:pt>
                  <c:pt idx="3">
                    <c:v>Dry Fruits</c:v>
                  </c:pt>
                  <c:pt idx="4">
                    <c:v>Face Wash</c:v>
                  </c:pt>
                  <c:pt idx="5">
                    <c:v>Green Tea</c:v>
                  </c:pt>
                  <c:pt idx="6">
                    <c:v>Jeans</c:v>
                  </c:pt>
                  <c:pt idx="7">
                    <c:v>Laptop</c:v>
                  </c:pt>
                  <c:pt idx="8">
                    <c:v>Mixer Grinder</c:v>
                  </c:pt>
                  <c:pt idx="9">
                    <c:v>Shampoo</c:v>
                  </c:pt>
                  <c:pt idx="10">
                    <c:v>Smartphone</c:v>
                  </c:pt>
                  <c:pt idx="11">
                    <c:v>Smartwatch</c:v>
                  </c:pt>
                  <c:pt idx="12">
                    <c:v>T-Shirt</c:v>
                  </c:pt>
                  <c:pt idx="13">
                    <c:v>Vacuum Cleaner</c:v>
                  </c:pt>
                  <c:pt idx="14">
                    <c:v>Air Fryer</c:v>
                  </c:pt>
                  <c:pt idx="15">
                    <c:v>Backpack</c:v>
                  </c:pt>
                  <c:pt idx="16">
                    <c:v>Coffee</c:v>
                  </c:pt>
                  <c:pt idx="17">
                    <c:v>Dry Fruits</c:v>
                  </c:pt>
                  <c:pt idx="18">
                    <c:v>Face Wash</c:v>
                  </c:pt>
                  <c:pt idx="19">
                    <c:v>Green Tea</c:v>
                  </c:pt>
                  <c:pt idx="20">
                    <c:v>Headphones</c:v>
                  </c:pt>
                  <c:pt idx="21">
                    <c:v>Jeans</c:v>
                  </c:pt>
                  <c:pt idx="22">
                    <c:v>Laptop</c:v>
                  </c:pt>
                  <c:pt idx="23">
                    <c:v>Protein Bar</c:v>
                  </c:pt>
                  <c:pt idx="24">
                    <c:v>Shampoo</c:v>
                  </c:pt>
                  <c:pt idx="25">
                    <c:v>Skin Care Kit</c:v>
                  </c:pt>
                  <c:pt idx="26">
                    <c:v>Smartphone</c:v>
                  </c:pt>
                  <c:pt idx="27">
                    <c:v>Smartwatch</c:v>
                  </c:pt>
                  <c:pt idx="28">
                    <c:v>Sneakers</c:v>
                  </c:pt>
                  <c:pt idx="29">
                    <c:v>Table Lamp</c:v>
                  </c:pt>
                  <c:pt idx="30">
                    <c:v>T-Shirt</c:v>
                  </c:pt>
                  <c:pt idx="31">
                    <c:v>Vacuum Cleaner</c:v>
                  </c:pt>
                </c:lvl>
                <c:lvl>
                  <c:pt idx="0">
                    <c:v>North</c:v>
                  </c:pt>
                  <c:pt idx="14">
                    <c:v>West</c:v>
                  </c:pt>
                </c:lvl>
              </c:multiLvlStrCache>
            </c:multiLvlStrRef>
          </c:cat>
          <c:val>
            <c:numRef>
              <c:f>'PIVOT TABLE'!$B$5:$B$39</c:f>
              <c:numCache>
                <c:formatCode>General</c:formatCode>
                <c:ptCount val="32"/>
                <c:pt idx="0">
                  <c:v>63177.349999999991</c:v>
                </c:pt>
                <c:pt idx="1">
                  <c:v>4428.1899999999996</c:v>
                </c:pt>
                <c:pt idx="2">
                  <c:v>2651.6499999999996</c:v>
                </c:pt>
                <c:pt idx="3">
                  <c:v>814.64</c:v>
                </c:pt>
                <c:pt idx="4">
                  <c:v>2102.9</c:v>
                </c:pt>
                <c:pt idx="5">
                  <c:v>1141.6299999999999</c:v>
                </c:pt>
                <c:pt idx="6">
                  <c:v>3631.2</c:v>
                </c:pt>
                <c:pt idx="7">
                  <c:v>1197316.7</c:v>
                </c:pt>
                <c:pt idx="8">
                  <c:v>37097.520000000004</c:v>
                </c:pt>
                <c:pt idx="9">
                  <c:v>5003.6000000000004</c:v>
                </c:pt>
                <c:pt idx="10">
                  <c:v>507557.11</c:v>
                </c:pt>
                <c:pt idx="11">
                  <c:v>41335.170000000006</c:v>
                </c:pt>
                <c:pt idx="12">
                  <c:v>3819.68</c:v>
                </c:pt>
                <c:pt idx="13">
                  <c:v>36551.56</c:v>
                </c:pt>
                <c:pt idx="14">
                  <c:v>56070.11</c:v>
                </c:pt>
                <c:pt idx="15">
                  <c:v>13662.92</c:v>
                </c:pt>
                <c:pt idx="16">
                  <c:v>1189.1099999999999</c:v>
                </c:pt>
                <c:pt idx="17">
                  <c:v>12722.02</c:v>
                </c:pt>
                <c:pt idx="18">
                  <c:v>3283.21</c:v>
                </c:pt>
                <c:pt idx="19">
                  <c:v>1605.87</c:v>
                </c:pt>
                <c:pt idx="20">
                  <c:v>21816.32</c:v>
                </c:pt>
                <c:pt idx="21">
                  <c:v>23336.799999999999</c:v>
                </c:pt>
                <c:pt idx="22">
                  <c:v>1067668.8500000001</c:v>
                </c:pt>
                <c:pt idx="23">
                  <c:v>1150.78</c:v>
                </c:pt>
                <c:pt idx="24">
                  <c:v>2783.84</c:v>
                </c:pt>
                <c:pt idx="25">
                  <c:v>3078.09</c:v>
                </c:pt>
                <c:pt idx="26">
                  <c:v>312514.72000000003</c:v>
                </c:pt>
                <c:pt idx="27">
                  <c:v>90393.64</c:v>
                </c:pt>
                <c:pt idx="28">
                  <c:v>52754.909999999996</c:v>
                </c:pt>
                <c:pt idx="29">
                  <c:v>6687.26</c:v>
                </c:pt>
                <c:pt idx="30">
                  <c:v>6847.5599999999995</c:v>
                </c:pt>
                <c:pt idx="31">
                  <c:v>55366.59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45E1-42F5-B798-9776694A39E9}"/>
            </c:ext>
          </c:extLst>
        </c:ser>
        <c:ser>
          <c:idx val="1"/>
          <c:order val="1"/>
          <c:tx>
            <c:strRef>
              <c:f>'PIVOT TABLE'!$C$4</c:f>
              <c:strCache>
                <c:ptCount val="1"/>
                <c:pt idx="0">
                  <c:v>Sum of Quantity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2-45E1-42F5-B798-9776694A39E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4-45E1-42F5-B798-9776694A39E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6-45E1-42F5-B798-9776694A39E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8-45E1-42F5-B798-9776694A39E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A-45E1-42F5-B798-9776694A39E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C-45E1-42F5-B798-9776694A39E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E-45E1-42F5-B798-9776694A39E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0-45E1-42F5-B798-9776694A39E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2-45E1-42F5-B798-9776694A39E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4-45E1-42F5-B798-9776694A39E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6-45E1-42F5-B798-9776694A39E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8-45E1-42F5-B798-9776694A39E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A-45E1-42F5-B798-9776694A39E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C-45E1-42F5-B798-9776694A39E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E-45E1-42F5-B798-9776694A39E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0-45E1-42F5-B798-9776694A39E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2-45E1-42F5-B798-9776694A39E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4-45E1-42F5-B798-9776694A39E9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6-45E1-42F5-B798-9776694A39E9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8-45E1-42F5-B798-9776694A39E9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A-45E1-42F5-B798-9776694A39E9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C-45E1-42F5-B798-9776694A39E9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E-45E1-42F5-B798-9776694A39E9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0-45E1-42F5-B798-9776694A39E9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2-45E1-42F5-B798-9776694A39E9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4-45E1-42F5-B798-9776694A39E9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6-45E1-42F5-B798-9776694A39E9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8-45E1-42F5-B798-9776694A39E9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A-45E1-42F5-B798-9776694A39E9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C-45E1-42F5-B798-9776694A39E9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E-45E1-42F5-B798-9776694A39E9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0-45E1-42F5-B798-9776694A39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6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'PIVOT TABLE'!$A$5:$A$39</c:f>
              <c:multiLvlStrCache>
                <c:ptCount val="32"/>
                <c:lvl>
                  <c:pt idx="0">
                    <c:v>Air Fryer</c:v>
                  </c:pt>
                  <c:pt idx="1">
                    <c:v>Backpack</c:v>
                  </c:pt>
                  <c:pt idx="2">
                    <c:v>Coffee</c:v>
                  </c:pt>
                  <c:pt idx="3">
                    <c:v>Dry Fruits</c:v>
                  </c:pt>
                  <c:pt idx="4">
                    <c:v>Face Wash</c:v>
                  </c:pt>
                  <c:pt idx="5">
                    <c:v>Green Tea</c:v>
                  </c:pt>
                  <c:pt idx="6">
                    <c:v>Jeans</c:v>
                  </c:pt>
                  <c:pt idx="7">
                    <c:v>Laptop</c:v>
                  </c:pt>
                  <c:pt idx="8">
                    <c:v>Mixer Grinder</c:v>
                  </c:pt>
                  <c:pt idx="9">
                    <c:v>Shampoo</c:v>
                  </c:pt>
                  <c:pt idx="10">
                    <c:v>Smartphone</c:v>
                  </c:pt>
                  <c:pt idx="11">
                    <c:v>Smartwatch</c:v>
                  </c:pt>
                  <c:pt idx="12">
                    <c:v>T-Shirt</c:v>
                  </c:pt>
                  <c:pt idx="13">
                    <c:v>Vacuum Cleaner</c:v>
                  </c:pt>
                  <c:pt idx="14">
                    <c:v>Air Fryer</c:v>
                  </c:pt>
                  <c:pt idx="15">
                    <c:v>Backpack</c:v>
                  </c:pt>
                  <c:pt idx="16">
                    <c:v>Coffee</c:v>
                  </c:pt>
                  <c:pt idx="17">
                    <c:v>Dry Fruits</c:v>
                  </c:pt>
                  <c:pt idx="18">
                    <c:v>Face Wash</c:v>
                  </c:pt>
                  <c:pt idx="19">
                    <c:v>Green Tea</c:v>
                  </c:pt>
                  <c:pt idx="20">
                    <c:v>Headphones</c:v>
                  </c:pt>
                  <c:pt idx="21">
                    <c:v>Jeans</c:v>
                  </c:pt>
                  <c:pt idx="22">
                    <c:v>Laptop</c:v>
                  </c:pt>
                  <c:pt idx="23">
                    <c:v>Protein Bar</c:v>
                  </c:pt>
                  <c:pt idx="24">
                    <c:v>Shampoo</c:v>
                  </c:pt>
                  <c:pt idx="25">
                    <c:v>Skin Care Kit</c:v>
                  </c:pt>
                  <c:pt idx="26">
                    <c:v>Smartphone</c:v>
                  </c:pt>
                  <c:pt idx="27">
                    <c:v>Smartwatch</c:v>
                  </c:pt>
                  <c:pt idx="28">
                    <c:v>Sneakers</c:v>
                  </c:pt>
                  <c:pt idx="29">
                    <c:v>Table Lamp</c:v>
                  </c:pt>
                  <c:pt idx="30">
                    <c:v>T-Shirt</c:v>
                  </c:pt>
                  <c:pt idx="31">
                    <c:v>Vacuum Cleaner</c:v>
                  </c:pt>
                </c:lvl>
                <c:lvl>
                  <c:pt idx="0">
                    <c:v>North</c:v>
                  </c:pt>
                  <c:pt idx="14">
                    <c:v>West</c:v>
                  </c:pt>
                </c:lvl>
              </c:multiLvlStrCache>
            </c:multiLvlStrRef>
          </c:cat>
          <c:val>
            <c:numRef>
              <c:f>'PIVOT TABLE'!$C$5:$C$39</c:f>
              <c:numCache>
                <c:formatCode>General</c:formatCode>
                <c:ptCount val="32"/>
                <c:pt idx="0">
                  <c:v>11</c:v>
                </c:pt>
                <c:pt idx="1">
                  <c:v>3</c:v>
                </c:pt>
                <c:pt idx="2">
                  <c:v>6</c:v>
                </c:pt>
                <c:pt idx="3">
                  <c:v>1</c:v>
                </c:pt>
                <c:pt idx="4">
                  <c:v>5</c:v>
                </c:pt>
                <c:pt idx="5">
                  <c:v>4</c:v>
                </c:pt>
                <c:pt idx="6">
                  <c:v>2</c:v>
                </c:pt>
                <c:pt idx="7">
                  <c:v>23</c:v>
                </c:pt>
                <c:pt idx="8">
                  <c:v>12</c:v>
                </c:pt>
                <c:pt idx="9">
                  <c:v>10</c:v>
                </c:pt>
                <c:pt idx="10">
                  <c:v>17</c:v>
                </c:pt>
                <c:pt idx="11">
                  <c:v>9</c:v>
                </c:pt>
                <c:pt idx="12">
                  <c:v>5</c:v>
                </c:pt>
                <c:pt idx="13">
                  <c:v>4</c:v>
                </c:pt>
                <c:pt idx="14">
                  <c:v>9</c:v>
                </c:pt>
                <c:pt idx="15">
                  <c:v>10</c:v>
                </c:pt>
                <c:pt idx="16">
                  <c:v>3</c:v>
                </c:pt>
                <c:pt idx="17">
                  <c:v>15</c:v>
                </c:pt>
                <c:pt idx="18">
                  <c:v>8</c:v>
                </c:pt>
                <c:pt idx="19">
                  <c:v>6</c:v>
                </c:pt>
                <c:pt idx="20">
                  <c:v>9</c:v>
                </c:pt>
                <c:pt idx="21">
                  <c:v>14</c:v>
                </c:pt>
                <c:pt idx="22">
                  <c:v>21</c:v>
                </c:pt>
                <c:pt idx="23">
                  <c:v>5</c:v>
                </c:pt>
                <c:pt idx="24">
                  <c:v>5</c:v>
                </c:pt>
                <c:pt idx="25">
                  <c:v>3</c:v>
                </c:pt>
                <c:pt idx="26">
                  <c:v>12</c:v>
                </c:pt>
                <c:pt idx="27">
                  <c:v>20</c:v>
                </c:pt>
                <c:pt idx="28">
                  <c:v>20</c:v>
                </c:pt>
                <c:pt idx="29">
                  <c:v>4</c:v>
                </c:pt>
                <c:pt idx="30">
                  <c:v>9</c:v>
                </c:pt>
                <c:pt idx="3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1-45E1-42F5-B798-9776694A39E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800359112936776"/>
          <c:y val="6.6486978635591887E-2"/>
          <c:w val="0.23783556961232566"/>
          <c:h val="0.893035553041861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6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60" baseline="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[FINAL PROJECT.xlsx]PIVOT TABLE!PivotTable3</c:name>
    <c:fmtId val="43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tint val="77000"/>
              </a:schemeClr>
            </a:solidFill>
            <a:ln w="9525">
              <a:solidFill>
                <a:schemeClr val="accent3">
                  <a:tint val="77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shade val="76000"/>
              </a:schemeClr>
            </a:solidFill>
            <a:ln w="9525">
              <a:solidFill>
                <a:schemeClr val="accent3">
                  <a:shade val="76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TABLE'!$B$4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3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tint val="77000"/>
                </a:schemeClr>
              </a:solidFill>
              <a:ln w="9525">
                <a:solidFill>
                  <a:schemeClr val="accent3">
                    <a:tint val="77000"/>
                  </a:schemeClr>
                </a:solidFill>
              </a:ln>
              <a:effectLst/>
            </c:spPr>
          </c:marker>
          <c:cat>
            <c:multiLvlStrRef>
              <c:f>'PIVOT TABLE'!$A$5:$A$39</c:f>
              <c:multiLvlStrCache>
                <c:ptCount val="32"/>
                <c:lvl>
                  <c:pt idx="0">
                    <c:v>Air Fryer</c:v>
                  </c:pt>
                  <c:pt idx="1">
                    <c:v>Backpack</c:v>
                  </c:pt>
                  <c:pt idx="2">
                    <c:v>Coffee</c:v>
                  </c:pt>
                  <c:pt idx="3">
                    <c:v>Dry Fruits</c:v>
                  </c:pt>
                  <c:pt idx="4">
                    <c:v>Face Wash</c:v>
                  </c:pt>
                  <c:pt idx="5">
                    <c:v>Green Tea</c:v>
                  </c:pt>
                  <c:pt idx="6">
                    <c:v>Jeans</c:v>
                  </c:pt>
                  <c:pt idx="7">
                    <c:v>Laptop</c:v>
                  </c:pt>
                  <c:pt idx="8">
                    <c:v>Mixer Grinder</c:v>
                  </c:pt>
                  <c:pt idx="9">
                    <c:v>Shampoo</c:v>
                  </c:pt>
                  <c:pt idx="10">
                    <c:v>Smartphone</c:v>
                  </c:pt>
                  <c:pt idx="11">
                    <c:v>Smartwatch</c:v>
                  </c:pt>
                  <c:pt idx="12">
                    <c:v>T-Shirt</c:v>
                  </c:pt>
                  <c:pt idx="13">
                    <c:v>Vacuum Cleaner</c:v>
                  </c:pt>
                  <c:pt idx="14">
                    <c:v>Air Fryer</c:v>
                  </c:pt>
                  <c:pt idx="15">
                    <c:v>Backpack</c:v>
                  </c:pt>
                  <c:pt idx="16">
                    <c:v>Coffee</c:v>
                  </c:pt>
                  <c:pt idx="17">
                    <c:v>Dry Fruits</c:v>
                  </c:pt>
                  <c:pt idx="18">
                    <c:v>Face Wash</c:v>
                  </c:pt>
                  <c:pt idx="19">
                    <c:v>Green Tea</c:v>
                  </c:pt>
                  <c:pt idx="20">
                    <c:v>Headphones</c:v>
                  </c:pt>
                  <c:pt idx="21">
                    <c:v>Jeans</c:v>
                  </c:pt>
                  <c:pt idx="22">
                    <c:v>Laptop</c:v>
                  </c:pt>
                  <c:pt idx="23">
                    <c:v>Protein Bar</c:v>
                  </c:pt>
                  <c:pt idx="24">
                    <c:v>Shampoo</c:v>
                  </c:pt>
                  <c:pt idx="25">
                    <c:v>Skin Care Kit</c:v>
                  </c:pt>
                  <c:pt idx="26">
                    <c:v>Smartphone</c:v>
                  </c:pt>
                  <c:pt idx="27">
                    <c:v>Smartwatch</c:v>
                  </c:pt>
                  <c:pt idx="28">
                    <c:v>Sneakers</c:v>
                  </c:pt>
                  <c:pt idx="29">
                    <c:v>Table Lamp</c:v>
                  </c:pt>
                  <c:pt idx="30">
                    <c:v>T-Shirt</c:v>
                  </c:pt>
                  <c:pt idx="31">
                    <c:v>Vacuum Cleaner</c:v>
                  </c:pt>
                </c:lvl>
                <c:lvl>
                  <c:pt idx="0">
                    <c:v>North</c:v>
                  </c:pt>
                  <c:pt idx="14">
                    <c:v>West</c:v>
                  </c:pt>
                </c:lvl>
              </c:multiLvlStrCache>
            </c:multiLvlStrRef>
          </c:cat>
          <c:val>
            <c:numRef>
              <c:f>'PIVOT TABLE'!$B$5:$B$39</c:f>
              <c:numCache>
                <c:formatCode>General</c:formatCode>
                <c:ptCount val="32"/>
                <c:pt idx="0">
                  <c:v>63177.349999999991</c:v>
                </c:pt>
                <c:pt idx="1">
                  <c:v>4428.1899999999996</c:v>
                </c:pt>
                <c:pt idx="2">
                  <c:v>2651.6499999999996</c:v>
                </c:pt>
                <c:pt idx="3">
                  <c:v>814.64</c:v>
                </c:pt>
                <c:pt idx="4">
                  <c:v>2102.9</c:v>
                </c:pt>
                <c:pt idx="5">
                  <c:v>1141.6299999999999</c:v>
                </c:pt>
                <c:pt idx="6">
                  <c:v>3631.2</c:v>
                </c:pt>
                <c:pt idx="7">
                  <c:v>1197316.7</c:v>
                </c:pt>
                <c:pt idx="8">
                  <c:v>37097.520000000004</c:v>
                </c:pt>
                <c:pt idx="9">
                  <c:v>5003.6000000000004</c:v>
                </c:pt>
                <c:pt idx="10">
                  <c:v>507557.11</c:v>
                </c:pt>
                <c:pt idx="11">
                  <c:v>41335.170000000006</c:v>
                </c:pt>
                <c:pt idx="12">
                  <c:v>3819.68</c:v>
                </c:pt>
                <c:pt idx="13">
                  <c:v>36551.56</c:v>
                </c:pt>
                <c:pt idx="14">
                  <c:v>56070.11</c:v>
                </c:pt>
                <c:pt idx="15">
                  <c:v>13662.92</c:v>
                </c:pt>
                <c:pt idx="16">
                  <c:v>1189.1099999999999</c:v>
                </c:pt>
                <c:pt idx="17">
                  <c:v>12722.02</c:v>
                </c:pt>
                <c:pt idx="18">
                  <c:v>3283.21</c:v>
                </c:pt>
                <c:pt idx="19">
                  <c:v>1605.87</c:v>
                </c:pt>
                <c:pt idx="20">
                  <c:v>21816.32</c:v>
                </c:pt>
                <c:pt idx="21">
                  <c:v>23336.799999999999</c:v>
                </c:pt>
                <c:pt idx="22">
                  <c:v>1067668.8500000001</c:v>
                </c:pt>
                <c:pt idx="23">
                  <c:v>1150.78</c:v>
                </c:pt>
                <c:pt idx="24">
                  <c:v>2783.84</c:v>
                </c:pt>
                <c:pt idx="25">
                  <c:v>3078.09</c:v>
                </c:pt>
                <c:pt idx="26">
                  <c:v>312514.72000000003</c:v>
                </c:pt>
                <c:pt idx="27">
                  <c:v>90393.64</c:v>
                </c:pt>
                <c:pt idx="28">
                  <c:v>52754.909999999996</c:v>
                </c:pt>
                <c:pt idx="29">
                  <c:v>6687.26</c:v>
                </c:pt>
                <c:pt idx="30">
                  <c:v>6847.5599999999995</c:v>
                </c:pt>
                <c:pt idx="31">
                  <c:v>55366.59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40-408B-8EE0-37E3A3091C21}"/>
            </c:ext>
          </c:extLst>
        </c:ser>
        <c:ser>
          <c:idx val="1"/>
          <c:order val="1"/>
          <c:tx>
            <c:strRef>
              <c:f>'PIVOT TABLE'!$C$4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3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shade val="76000"/>
                </a:schemeClr>
              </a:solidFill>
              <a:ln w="9525">
                <a:solidFill>
                  <a:schemeClr val="accent3">
                    <a:shade val="76000"/>
                  </a:schemeClr>
                </a:solidFill>
              </a:ln>
              <a:effectLst/>
            </c:spPr>
          </c:marker>
          <c:cat>
            <c:multiLvlStrRef>
              <c:f>'PIVOT TABLE'!$A$5:$A$39</c:f>
              <c:multiLvlStrCache>
                <c:ptCount val="32"/>
                <c:lvl>
                  <c:pt idx="0">
                    <c:v>Air Fryer</c:v>
                  </c:pt>
                  <c:pt idx="1">
                    <c:v>Backpack</c:v>
                  </c:pt>
                  <c:pt idx="2">
                    <c:v>Coffee</c:v>
                  </c:pt>
                  <c:pt idx="3">
                    <c:v>Dry Fruits</c:v>
                  </c:pt>
                  <c:pt idx="4">
                    <c:v>Face Wash</c:v>
                  </c:pt>
                  <c:pt idx="5">
                    <c:v>Green Tea</c:v>
                  </c:pt>
                  <c:pt idx="6">
                    <c:v>Jeans</c:v>
                  </c:pt>
                  <c:pt idx="7">
                    <c:v>Laptop</c:v>
                  </c:pt>
                  <c:pt idx="8">
                    <c:v>Mixer Grinder</c:v>
                  </c:pt>
                  <c:pt idx="9">
                    <c:v>Shampoo</c:v>
                  </c:pt>
                  <c:pt idx="10">
                    <c:v>Smartphone</c:v>
                  </c:pt>
                  <c:pt idx="11">
                    <c:v>Smartwatch</c:v>
                  </c:pt>
                  <c:pt idx="12">
                    <c:v>T-Shirt</c:v>
                  </c:pt>
                  <c:pt idx="13">
                    <c:v>Vacuum Cleaner</c:v>
                  </c:pt>
                  <c:pt idx="14">
                    <c:v>Air Fryer</c:v>
                  </c:pt>
                  <c:pt idx="15">
                    <c:v>Backpack</c:v>
                  </c:pt>
                  <c:pt idx="16">
                    <c:v>Coffee</c:v>
                  </c:pt>
                  <c:pt idx="17">
                    <c:v>Dry Fruits</c:v>
                  </c:pt>
                  <c:pt idx="18">
                    <c:v>Face Wash</c:v>
                  </c:pt>
                  <c:pt idx="19">
                    <c:v>Green Tea</c:v>
                  </c:pt>
                  <c:pt idx="20">
                    <c:v>Headphones</c:v>
                  </c:pt>
                  <c:pt idx="21">
                    <c:v>Jeans</c:v>
                  </c:pt>
                  <c:pt idx="22">
                    <c:v>Laptop</c:v>
                  </c:pt>
                  <c:pt idx="23">
                    <c:v>Protein Bar</c:v>
                  </c:pt>
                  <c:pt idx="24">
                    <c:v>Shampoo</c:v>
                  </c:pt>
                  <c:pt idx="25">
                    <c:v>Skin Care Kit</c:v>
                  </c:pt>
                  <c:pt idx="26">
                    <c:v>Smartphone</c:v>
                  </c:pt>
                  <c:pt idx="27">
                    <c:v>Smartwatch</c:v>
                  </c:pt>
                  <c:pt idx="28">
                    <c:v>Sneakers</c:v>
                  </c:pt>
                  <c:pt idx="29">
                    <c:v>Table Lamp</c:v>
                  </c:pt>
                  <c:pt idx="30">
                    <c:v>T-Shirt</c:v>
                  </c:pt>
                  <c:pt idx="31">
                    <c:v>Vacuum Cleaner</c:v>
                  </c:pt>
                </c:lvl>
                <c:lvl>
                  <c:pt idx="0">
                    <c:v>North</c:v>
                  </c:pt>
                  <c:pt idx="14">
                    <c:v>West</c:v>
                  </c:pt>
                </c:lvl>
              </c:multiLvlStrCache>
            </c:multiLvlStrRef>
          </c:cat>
          <c:val>
            <c:numRef>
              <c:f>'PIVOT TABLE'!$C$5:$C$39</c:f>
              <c:numCache>
                <c:formatCode>General</c:formatCode>
                <c:ptCount val="32"/>
                <c:pt idx="0">
                  <c:v>11</c:v>
                </c:pt>
                <c:pt idx="1">
                  <c:v>3</c:v>
                </c:pt>
                <c:pt idx="2">
                  <c:v>6</c:v>
                </c:pt>
                <c:pt idx="3">
                  <c:v>1</c:v>
                </c:pt>
                <c:pt idx="4">
                  <c:v>5</c:v>
                </c:pt>
                <c:pt idx="5">
                  <c:v>4</c:v>
                </c:pt>
                <c:pt idx="6">
                  <c:v>2</c:v>
                </c:pt>
                <c:pt idx="7">
                  <c:v>23</c:v>
                </c:pt>
                <c:pt idx="8">
                  <c:v>12</c:v>
                </c:pt>
                <c:pt idx="9">
                  <c:v>10</c:v>
                </c:pt>
                <c:pt idx="10">
                  <c:v>17</c:v>
                </c:pt>
                <c:pt idx="11">
                  <c:v>9</c:v>
                </c:pt>
                <c:pt idx="12">
                  <c:v>5</c:v>
                </c:pt>
                <c:pt idx="13">
                  <c:v>4</c:v>
                </c:pt>
                <c:pt idx="14">
                  <c:v>9</c:v>
                </c:pt>
                <c:pt idx="15">
                  <c:v>10</c:v>
                </c:pt>
                <c:pt idx="16">
                  <c:v>3</c:v>
                </c:pt>
                <c:pt idx="17">
                  <c:v>15</c:v>
                </c:pt>
                <c:pt idx="18">
                  <c:v>8</c:v>
                </c:pt>
                <c:pt idx="19">
                  <c:v>6</c:v>
                </c:pt>
                <c:pt idx="20">
                  <c:v>9</c:v>
                </c:pt>
                <c:pt idx="21">
                  <c:v>14</c:v>
                </c:pt>
                <c:pt idx="22">
                  <c:v>21</c:v>
                </c:pt>
                <c:pt idx="23">
                  <c:v>5</c:v>
                </c:pt>
                <c:pt idx="24">
                  <c:v>5</c:v>
                </c:pt>
                <c:pt idx="25">
                  <c:v>3</c:v>
                </c:pt>
                <c:pt idx="26">
                  <c:v>12</c:v>
                </c:pt>
                <c:pt idx="27">
                  <c:v>20</c:v>
                </c:pt>
                <c:pt idx="28">
                  <c:v>20</c:v>
                </c:pt>
                <c:pt idx="29">
                  <c:v>4</c:v>
                </c:pt>
                <c:pt idx="30">
                  <c:v>9</c:v>
                </c:pt>
                <c:pt idx="3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40-408B-8EE0-37E3A3091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8114032"/>
        <c:axId val="654120304"/>
      </c:lineChart>
      <c:catAx>
        <c:axId val="818114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120304"/>
        <c:crosses val="autoZero"/>
        <c:auto val="1"/>
        <c:lblAlgn val="ctr"/>
        <c:lblOffset val="100"/>
        <c:noMultiLvlLbl val="0"/>
      </c:catAx>
      <c:valAx>
        <c:axId val="65412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114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[FINAL PROJECT.xlsx]PIVOT TABLE!PivotTable3</c:name>
    <c:fmtId val="55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100000">
                <a:schemeClr val="accent4"/>
              </a:gs>
              <a:gs pos="0">
                <a:schemeClr val="accent4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100000">
                <a:schemeClr val="accent4"/>
              </a:gs>
              <a:gs pos="0">
                <a:schemeClr val="accent4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percentStacked"/>
        <c:varyColors val="0"/>
        <c:ser>
          <c:idx val="0"/>
          <c:order val="0"/>
          <c:tx>
            <c:strRef>
              <c:f>'PIVOT TABLE'!$B$4</c:f>
              <c:strCache>
                <c:ptCount val="1"/>
                <c:pt idx="0">
                  <c:v>Sum of Revenue</c:v>
                </c:pt>
              </c:strCache>
            </c:strRef>
          </c:tx>
          <c:spPr>
            <a:gradFill>
              <a:gsLst>
                <a:gs pos="100000">
                  <a:schemeClr val="accent4">
                    <a:tint val="77000"/>
                  </a:schemeClr>
                </a:gs>
                <a:gs pos="0">
                  <a:schemeClr val="accent4">
                    <a:tint val="77000"/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multiLvlStrRef>
              <c:f>'PIVOT TABLE'!$A$5:$A$39</c:f>
              <c:multiLvlStrCache>
                <c:ptCount val="32"/>
                <c:lvl>
                  <c:pt idx="0">
                    <c:v>Air Fryer</c:v>
                  </c:pt>
                  <c:pt idx="1">
                    <c:v>Backpack</c:v>
                  </c:pt>
                  <c:pt idx="2">
                    <c:v>Coffee</c:v>
                  </c:pt>
                  <c:pt idx="3">
                    <c:v>Dry Fruits</c:v>
                  </c:pt>
                  <c:pt idx="4">
                    <c:v>Face Wash</c:v>
                  </c:pt>
                  <c:pt idx="5">
                    <c:v>Green Tea</c:v>
                  </c:pt>
                  <c:pt idx="6">
                    <c:v>Jeans</c:v>
                  </c:pt>
                  <c:pt idx="7">
                    <c:v>Laptop</c:v>
                  </c:pt>
                  <c:pt idx="8">
                    <c:v>Mixer Grinder</c:v>
                  </c:pt>
                  <c:pt idx="9">
                    <c:v>Shampoo</c:v>
                  </c:pt>
                  <c:pt idx="10">
                    <c:v>Smartphone</c:v>
                  </c:pt>
                  <c:pt idx="11">
                    <c:v>Smartwatch</c:v>
                  </c:pt>
                  <c:pt idx="12">
                    <c:v>T-Shirt</c:v>
                  </c:pt>
                  <c:pt idx="13">
                    <c:v>Vacuum Cleaner</c:v>
                  </c:pt>
                  <c:pt idx="14">
                    <c:v>Air Fryer</c:v>
                  </c:pt>
                  <c:pt idx="15">
                    <c:v>Backpack</c:v>
                  </c:pt>
                  <c:pt idx="16">
                    <c:v>Coffee</c:v>
                  </c:pt>
                  <c:pt idx="17">
                    <c:v>Dry Fruits</c:v>
                  </c:pt>
                  <c:pt idx="18">
                    <c:v>Face Wash</c:v>
                  </c:pt>
                  <c:pt idx="19">
                    <c:v>Green Tea</c:v>
                  </c:pt>
                  <c:pt idx="20">
                    <c:v>Headphones</c:v>
                  </c:pt>
                  <c:pt idx="21">
                    <c:v>Jeans</c:v>
                  </c:pt>
                  <c:pt idx="22">
                    <c:v>Laptop</c:v>
                  </c:pt>
                  <c:pt idx="23">
                    <c:v>Protein Bar</c:v>
                  </c:pt>
                  <c:pt idx="24">
                    <c:v>Shampoo</c:v>
                  </c:pt>
                  <c:pt idx="25">
                    <c:v>Skin Care Kit</c:v>
                  </c:pt>
                  <c:pt idx="26">
                    <c:v>Smartphone</c:v>
                  </c:pt>
                  <c:pt idx="27">
                    <c:v>Smartwatch</c:v>
                  </c:pt>
                  <c:pt idx="28">
                    <c:v>Sneakers</c:v>
                  </c:pt>
                  <c:pt idx="29">
                    <c:v>Table Lamp</c:v>
                  </c:pt>
                  <c:pt idx="30">
                    <c:v>T-Shirt</c:v>
                  </c:pt>
                  <c:pt idx="31">
                    <c:v>Vacuum Cleaner</c:v>
                  </c:pt>
                </c:lvl>
                <c:lvl>
                  <c:pt idx="0">
                    <c:v>North</c:v>
                  </c:pt>
                  <c:pt idx="14">
                    <c:v>West</c:v>
                  </c:pt>
                </c:lvl>
              </c:multiLvlStrCache>
            </c:multiLvlStrRef>
          </c:cat>
          <c:val>
            <c:numRef>
              <c:f>'PIVOT TABLE'!$B$5:$B$39</c:f>
              <c:numCache>
                <c:formatCode>General</c:formatCode>
                <c:ptCount val="32"/>
                <c:pt idx="0">
                  <c:v>63177.349999999991</c:v>
                </c:pt>
                <c:pt idx="1">
                  <c:v>4428.1899999999996</c:v>
                </c:pt>
                <c:pt idx="2">
                  <c:v>2651.6499999999996</c:v>
                </c:pt>
                <c:pt idx="3">
                  <c:v>814.64</c:v>
                </c:pt>
                <c:pt idx="4">
                  <c:v>2102.9</c:v>
                </c:pt>
                <c:pt idx="5">
                  <c:v>1141.6299999999999</c:v>
                </c:pt>
                <c:pt idx="6">
                  <c:v>3631.2</c:v>
                </c:pt>
                <c:pt idx="7">
                  <c:v>1197316.7</c:v>
                </c:pt>
                <c:pt idx="8">
                  <c:v>37097.520000000004</c:v>
                </c:pt>
                <c:pt idx="9">
                  <c:v>5003.6000000000004</c:v>
                </c:pt>
                <c:pt idx="10">
                  <c:v>507557.11</c:v>
                </c:pt>
                <c:pt idx="11">
                  <c:v>41335.170000000006</c:v>
                </c:pt>
                <c:pt idx="12">
                  <c:v>3819.68</c:v>
                </c:pt>
                <c:pt idx="13">
                  <c:v>36551.56</c:v>
                </c:pt>
                <c:pt idx="14">
                  <c:v>56070.11</c:v>
                </c:pt>
                <c:pt idx="15">
                  <c:v>13662.92</c:v>
                </c:pt>
                <c:pt idx="16">
                  <c:v>1189.1099999999999</c:v>
                </c:pt>
                <c:pt idx="17">
                  <c:v>12722.02</c:v>
                </c:pt>
                <c:pt idx="18">
                  <c:v>3283.21</c:v>
                </c:pt>
                <c:pt idx="19">
                  <c:v>1605.87</c:v>
                </c:pt>
                <c:pt idx="20">
                  <c:v>21816.32</c:v>
                </c:pt>
                <c:pt idx="21">
                  <c:v>23336.799999999999</c:v>
                </c:pt>
                <c:pt idx="22">
                  <c:v>1067668.8500000001</c:v>
                </c:pt>
                <c:pt idx="23">
                  <c:v>1150.78</c:v>
                </c:pt>
                <c:pt idx="24">
                  <c:v>2783.84</c:v>
                </c:pt>
                <c:pt idx="25">
                  <c:v>3078.09</c:v>
                </c:pt>
                <c:pt idx="26">
                  <c:v>312514.72000000003</c:v>
                </c:pt>
                <c:pt idx="27">
                  <c:v>90393.64</c:v>
                </c:pt>
                <c:pt idx="28">
                  <c:v>52754.909999999996</c:v>
                </c:pt>
                <c:pt idx="29">
                  <c:v>6687.26</c:v>
                </c:pt>
                <c:pt idx="30">
                  <c:v>6847.5599999999995</c:v>
                </c:pt>
                <c:pt idx="31">
                  <c:v>55366.59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5F-415B-813F-45085CCE5463}"/>
            </c:ext>
          </c:extLst>
        </c:ser>
        <c:ser>
          <c:idx val="1"/>
          <c:order val="1"/>
          <c:tx>
            <c:strRef>
              <c:f>'PIVOT TABLE'!$C$4</c:f>
              <c:strCache>
                <c:ptCount val="1"/>
                <c:pt idx="0">
                  <c:v>Sum of Quantity</c:v>
                </c:pt>
              </c:strCache>
            </c:strRef>
          </c:tx>
          <c:spPr>
            <a:gradFill>
              <a:gsLst>
                <a:gs pos="100000">
                  <a:schemeClr val="accent4">
                    <a:shade val="76000"/>
                  </a:schemeClr>
                </a:gs>
                <a:gs pos="0">
                  <a:schemeClr val="accent4">
                    <a:shade val="76000"/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multiLvlStrRef>
              <c:f>'PIVOT TABLE'!$A$5:$A$39</c:f>
              <c:multiLvlStrCache>
                <c:ptCount val="32"/>
                <c:lvl>
                  <c:pt idx="0">
                    <c:v>Air Fryer</c:v>
                  </c:pt>
                  <c:pt idx="1">
                    <c:v>Backpack</c:v>
                  </c:pt>
                  <c:pt idx="2">
                    <c:v>Coffee</c:v>
                  </c:pt>
                  <c:pt idx="3">
                    <c:v>Dry Fruits</c:v>
                  </c:pt>
                  <c:pt idx="4">
                    <c:v>Face Wash</c:v>
                  </c:pt>
                  <c:pt idx="5">
                    <c:v>Green Tea</c:v>
                  </c:pt>
                  <c:pt idx="6">
                    <c:v>Jeans</c:v>
                  </c:pt>
                  <c:pt idx="7">
                    <c:v>Laptop</c:v>
                  </c:pt>
                  <c:pt idx="8">
                    <c:v>Mixer Grinder</c:v>
                  </c:pt>
                  <c:pt idx="9">
                    <c:v>Shampoo</c:v>
                  </c:pt>
                  <c:pt idx="10">
                    <c:v>Smartphone</c:v>
                  </c:pt>
                  <c:pt idx="11">
                    <c:v>Smartwatch</c:v>
                  </c:pt>
                  <c:pt idx="12">
                    <c:v>T-Shirt</c:v>
                  </c:pt>
                  <c:pt idx="13">
                    <c:v>Vacuum Cleaner</c:v>
                  </c:pt>
                  <c:pt idx="14">
                    <c:v>Air Fryer</c:v>
                  </c:pt>
                  <c:pt idx="15">
                    <c:v>Backpack</c:v>
                  </c:pt>
                  <c:pt idx="16">
                    <c:v>Coffee</c:v>
                  </c:pt>
                  <c:pt idx="17">
                    <c:v>Dry Fruits</c:v>
                  </c:pt>
                  <c:pt idx="18">
                    <c:v>Face Wash</c:v>
                  </c:pt>
                  <c:pt idx="19">
                    <c:v>Green Tea</c:v>
                  </c:pt>
                  <c:pt idx="20">
                    <c:v>Headphones</c:v>
                  </c:pt>
                  <c:pt idx="21">
                    <c:v>Jeans</c:v>
                  </c:pt>
                  <c:pt idx="22">
                    <c:v>Laptop</c:v>
                  </c:pt>
                  <c:pt idx="23">
                    <c:v>Protein Bar</c:v>
                  </c:pt>
                  <c:pt idx="24">
                    <c:v>Shampoo</c:v>
                  </c:pt>
                  <c:pt idx="25">
                    <c:v>Skin Care Kit</c:v>
                  </c:pt>
                  <c:pt idx="26">
                    <c:v>Smartphone</c:v>
                  </c:pt>
                  <c:pt idx="27">
                    <c:v>Smartwatch</c:v>
                  </c:pt>
                  <c:pt idx="28">
                    <c:v>Sneakers</c:v>
                  </c:pt>
                  <c:pt idx="29">
                    <c:v>Table Lamp</c:v>
                  </c:pt>
                  <c:pt idx="30">
                    <c:v>T-Shirt</c:v>
                  </c:pt>
                  <c:pt idx="31">
                    <c:v>Vacuum Cleaner</c:v>
                  </c:pt>
                </c:lvl>
                <c:lvl>
                  <c:pt idx="0">
                    <c:v>North</c:v>
                  </c:pt>
                  <c:pt idx="14">
                    <c:v>West</c:v>
                  </c:pt>
                </c:lvl>
              </c:multiLvlStrCache>
            </c:multiLvlStrRef>
          </c:cat>
          <c:val>
            <c:numRef>
              <c:f>'PIVOT TABLE'!$C$5:$C$39</c:f>
              <c:numCache>
                <c:formatCode>General</c:formatCode>
                <c:ptCount val="32"/>
                <c:pt idx="0">
                  <c:v>11</c:v>
                </c:pt>
                <c:pt idx="1">
                  <c:v>3</c:v>
                </c:pt>
                <c:pt idx="2">
                  <c:v>6</c:v>
                </c:pt>
                <c:pt idx="3">
                  <c:v>1</c:v>
                </c:pt>
                <c:pt idx="4">
                  <c:v>5</c:v>
                </c:pt>
                <c:pt idx="5">
                  <c:v>4</c:v>
                </c:pt>
                <c:pt idx="6">
                  <c:v>2</c:v>
                </c:pt>
                <c:pt idx="7">
                  <c:v>23</c:v>
                </c:pt>
                <c:pt idx="8">
                  <c:v>12</c:v>
                </c:pt>
                <c:pt idx="9">
                  <c:v>10</c:v>
                </c:pt>
                <c:pt idx="10">
                  <c:v>17</c:v>
                </c:pt>
                <c:pt idx="11">
                  <c:v>9</c:v>
                </c:pt>
                <c:pt idx="12">
                  <c:v>5</c:v>
                </c:pt>
                <c:pt idx="13">
                  <c:v>4</c:v>
                </c:pt>
                <c:pt idx="14">
                  <c:v>9</c:v>
                </c:pt>
                <c:pt idx="15">
                  <c:v>10</c:v>
                </c:pt>
                <c:pt idx="16">
                  <c:v>3</c:v>
                </c:pt>
                <c:pt idx="17">
                  <c:v>15</c:v>
                </c:pt>
                <c:pt idx="18">
                  <c:v>8</c:v>
                </c:pt>
                <c:pt idx="19">
                  <c:v>6</c:v>
                </c:pt>
                <c:pt idx="20">
                  <c:v>9</c:v>
                </c:pt>
                <c:pt idx="21">
                  <c:v>14</c:v>
                </c:pt>
                <c:pt idx="22">
                  <c:v>21</c:v>
                </c:pt>
                <c:pt idx="23">
                  <c:v>5</c:v>
                </c:pt>
                <c:pt idx="24">
                  <c:v>5</c:v>
                </c:pt>
                <c:pt idx="25">
                  <c:v>3</c:v>
                </c:pt>
                <c:pt idx="26">
                  <c:v>12</c:v>
                </c:pt>
                <c:pt idx="27">
                  <c:v>20</c:v>
                </c:pt>
                <c:pt idx="28">
                  <c:v>20</c:v>
                </c:pt>
                <c:pt idx="29">
                  <c:v>4</c:v>
                </c:pt>
                <c:pt idx="30">
                  <c:v>9</c:v>
                </c:pt>
                <c:pt idx="3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5F-415B-813F-45085CCE5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1972369840"/>
        <c:axId val="654097264"/>
      </c:areaChart>
      <c:catAx>
        <c:axId val="197236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097264"/>
        <c:crosses val="autoZero"/>
        <c:auto val="1"/>
        <c:lblAlgn val="ctr"/>
        <c:lblOffset val="100"/>
        <c:noMultiLvlLbl val="0"/>
      </c:catAx>
      <c:valAx>
        <c:axId val="6540972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369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50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291910</xdr:colOff>
      <xdr:row>3</xdr:row>
      <xdr:rowOff>89094</xdr:rowOff>
    </xdr:from>
    <xdr:to>
      <xdr:col>13</xdr:col>
      <xdr:colOff>238570</xdr:colOff>
      <xdr:row>31</xdr:row>
      <xdr:rowOff>39076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95FE67-8E52-25CF-6EA1-1CE5217F1B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</xdr:row>
      <xdr:rowOff>38099</xdr:rowOff>
    </xdr:from>
    <xdr:to>
      <xdr:col>10</xdr:col>
      <xdr:colOff>220980</xdr:colOff>
      <xdr:row>27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4F7AD8-B698-45B3-A6AB-B452F4E60F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612097</xdr:colOff>
      <xdr:row>1</xdr:row>
      <xdr:rowOff>49967</xdr:rowOff>
    </xdr:from>
    <xdr:to>
      <xdr:col>23</xdr:col>
      <xdr:colOff>124918</xdr:colOff>
      <xdr:row>27</xdr:row>
      <xdr:rowOff>149902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575C46-1AD0-493F-A284-AD3416B8D7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30</xdr:row>
      <xdr:rowOff>145965</xdr:rowOff>
    </xdr:from>
    <xdr:to>
      <xdr:col>10</xdr:col>
      <xdr:colOff>287310</xdr:colOff>
      <xdr:row>57</xdr:row>
      <xdr:rowOff>174625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C1AFD9-5BDD-45CC-994F-7DEA81D2F3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-1</xdr:colOff>
      <xdr:row>31</xdr:row>
      <xdr:rowOff>0</xdr:rowOff>
    </xdr:from>
    <xdr:to>
      <xdr:col>23</xdr:col>
      <xdr:colOff>56443</xdr:colOff>
      <xdr:row>59</xdr:row>
      <xdr:rowOff>20312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8E4DFA0-8DB1-4DD8-B45B-CAB4F6A72B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na" refreshedDate="46283.937577430559" createdVersion="8" refreshedVersion="8" minRefreshableVersion="3" recordCount="250" xr:uid="{C1F8DBF6-5C29-4E5E-8A88-3C326369123E}">
  <cacheSource type="worksheet">
    <worksheetSource name="Table1"/>
  </cacheSource>
  <cacheFields count="21">
    <cacheField name="TransactionID" numFmtId="0">
      <sharedItems/>
    </cacheField>
    <cacheField name="Date" numFmtId="164">
      <sharedItems containsSemiMixedTypes="0" containsNonDate="0" containsDate="1" containsString="0" minDate="2025-01-02T00:00:00" maxDate="2026-01-01T00:00:00"/>
    </cacheField>
    <cacheField name="Time" numFmtId="0">
      <sharedItems/>
    </cacheField>
    <cacheField name="CustomerID" numFmtId="0">
      <sharedItems/>
    </cacheField>
    <cacheField name="CustomerName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59"/>
    </cacheField>
    <cacheField name="Region" numFmtId="0">
      <sharedItems count="4">
        <s v="West"/>
        <s v="North"/>
        <s v="South"/>
        <s v="East"/>
      </sharedItems>
    </cacheField>
    <cacheField name="City" numFmtId="0">
      <sharedItems/>
    </cacheField>
    <cacheField name="Category" numFmtId="0">
      <sharedItems/>
    </cacheField>
    <cacheField name="Product" numFmtId="0">
      <sharedItems count="20">
        <s v="Sneakers"/>
        <s v="Mixer Grinder"/>
        <s v="Coffee"/>
        <s v="Smartphone"/>
        <s v="Protein Bar"/>
        <s v="Air Fryer"/>
        <s v="T-Shirt"/>
        <s v="Backpack"/>
        <s v="Jeans"/>
        <s v="Dry Fruits"/>
        <s v="Green Tea"/>
        <s v="Laptop"/>
        <s v="Skin Care Kit"/>
        <s v="Headphones"/>
        <s v="Vacuum Cleaner"/>
        <s v="Smartwatch"/>
        <s v="Table Lamp"/>
        <s v="Shampoo"/>
        <s v="Face Wash"/>
        <s v="Perfume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230.12" maxValue="59316.45"/>
    </cacheField>
    <cacheField name="Discount" numFmtId="0">
      <sharedItems containsSemiMixedTypes="0" containsString="0" containsNumber="1" minValue="0" maxValue="0.15"/>
    </cacheField>
    <cacheField name="Revenue" numFmtId="0">
      <sharedItems containsSemiMixedTypes="0" containsString="0" containsNumber="1" minValue="196.11" maxValue="290253.51"/>
    </cacheField>
    <cacheField name="Cost" numFmtId="0">
      <sharedItems containsSemiMixedTypes="0" containsString="0" containsNumber="1" minValue="134.35" maxValue="205539.35"/>
    </cacheField>
    <cacheField name="Profit" numFmtId="0">
      <sharedItems containsSemiMixedTypes="0" containsString="0" containsNumber="1" minValue="59.13" maxValue="101881.01"/>
    </cacheField>
    <cacheField name="PaymentMethod" numFmtId="0">
      <sharedItems/>
    </cacheField>
    <cacheField name="Salesperson" numFmtId="0">
      <sharedItems/>
    </cacheField>
    <cacheField name="CustomerType" numFmtId="0">
      <sharedItems/>
    </cacheField>
    <cacheField name="Rating" numFmtId="0">
      <sharedItems containsSemiMixedTypes="0" containsString="0" containsNumber="1" containsInteger="1" minValue="3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s v="T0001"/>
    <d v="2025-09-16T00:00:00"/>
    <s v="12:20"/>
    <s v="C029"/>
    <s v="Avni Patel"/>
    <s v="Male"/>
    <n v="51"/>
    <x v="0"/>
    <s v="Vadodara"/>
    <s v="Fashion"/>
    <x v="0"/>
    <n v="2"/>
    <n v="2805.42"/>
    <n v="0.05"/>
    <n v="5330.3"/>
    <n v="3676.48"/>
    <n v="1653.82"/>
    <s v="Cash"/>
    <s v="Amit"/>
    <s v="Returning"/>
    <n v="4"/>
  </r>
  <r>
    <s v="T0002"/>
    <d v="2025-12-26T00:00:00"/>
    <s v="09:15"/>
    <s v="C018"/>
    <s v="Isha Patel"/>
    <s v="Female"/>
    <n v="35"/>
    <x v="1"/>
    <s v="Chandigarh"/>
    <s v="Home"/>
    <x v="1"/>
    <n v="2"/>
    <n v="3737.83"/>
    <n v="0.15"/>
    <n v="6354.31"/>
    <n v="4823.92"/>
    <n v="1530.39"/>
    <s v="Cash"/>
    <s v="Neha"/>
    <s v="VIP"/>
    <n v="4"/>
  </r>
  <r>
    <s v="T0003"/>
    <d v="2025-01-02T00:00:00"/>
    <s v="09:50"/>
    <s v="C049"/>
    <s v="Riya Shah"/>
    <s v="Male"/>
    <n v="41"/>
    <x v="2"/>
    <s v="Kochi"/>
    <s v="Grocery"/>
    <x v="2"/>
    <n v="5"/>
    <n v="477.55"/>
    <n v="0"/>
    <n v="2387.75"/>
    <n v="1613.58"/>
    <n v="774.17"/>
    <s v="Debit Card"/>
    <s v="Karan"/>
    <s v="VIP"/>
    <n v="4"/>
  </r>
  <r>
    <s v="T0004"/>
    <d v="2025-04-26T00:00:00"/>
    <s v="19:00"/>
    <s v="C033"/>
    <s v="Aditya Shah"/>
    <s v="Female"/>
    <n v="22"/>
    <x v="0"/>
    <s v="Surat"/>
    <s v="Electronics"/>
    <x v="3"/>
    <n v="4"/>
    <n v="30387.3"/>
    <n v="0.15"/>
    <n v="103316.82"/>
    <n v="83482.75"/>
    <n v="19834.07"/>
    <s v="UPI"/>
    <s v="Vivek"/>
    <s v="New"/>
    <n v="4"/>
  </r>
  <r>
    <s v="T0005"/>
    <d v="2025-11-06T00:00:00"/>
    <s v="11:50"/>
    <s v="C002"/>
    <s v="Vivaan Patel"/>
    <s v="Female"/>
    <n v="56"/>
    <x v="0"/>
    <s v="Surat"/>
    <s v="Grocery"/>
    <x v="4"/>
    <n v="1"/>
    <n v="230.72"/>
    <n v="0.15"/>
    <n v="196.11"/>
    <n v="134.35"/>
    <n v="61.76"/>
    <s v="Cash"/>
    <s v="Karan"/>
    <s v="Returning"/>
    <n v="4"/>
  </r>
  <r>
    <s v="T0006"/>
    <d v="2025-01-22T00:00:00"/>
    <s v="14:40"/>
    <s v="C012"/>
    <s v="Kabir Patel"/>
    <s v="Female"/>
    <n v="31"/>
    <x v="1"/>
    <s v="Delhi"/>
    <s v="Home"/>
    <x v="5"/>
    <n v="3"/>
    <n v="6431.77"/>
    <n v="0.1"/>
    <n v="17365.78"/>
    <n v="12512.52"/>
    <n v="4853.26"/>
    <s v="Cash"/>
    <s v="Amit"/>
    <s v="New"/>
    <n v="5"/>
  </r>
  <r>
    <s v="T0007"/>
    <d v="2025-01-04T00:00:00"/>
    <s v="11:50"/>
    <s v="C019"/>
    <s v="Riya Patel"/>
    <s v="Female"/>
    <n v="53"/>
    <x v="2"/>
    <s v="Chennai"/>
    <s v="Fashion"/>
    <x v="6"/>
    <n v="4"/>
    <n v="963.43"/>
    <n v="0.1"/>
    <n v="3468.35"/>
    <n v="2344.3000000000002"/>
    <n v="1124.05"/>
    <s v="Debit Card"/>
    <s v="Pooja"/>
    <s v="New"/>
    <n v="5"/>
  </r>
  <r>
    <s v="T0008"/>
    <d v="2025-10-29T00:00:00"/>
    <s v="13:45"/>
    <s v="C049"/>
    <s v="Riya Shah"/>
    <s v="Male"/>
    <n v="41"/>
    <x v="2"/>
    <s v="Kochi"/>
    <s v="Grocery"/>
    <x v="2"/>
    <n v="4"/>
    <n v="435.2"/>
    <n v="0.1"/>
    <n v="1566.72"/>
    <n v="1031.19"/>
    <n v="535.53"/>
    <s v="UPI"/>
    <s v="Karan"/>
    <s v="New"/>
    <n v="4"/>
  </r>
  <r>
    <s v="T0009"/>
    <d v="2025-02-23T00:00:00"/>
    <s v="18:15"/>
    <s v="C031"/>
    <s v="Aarav Shah"/>
    <s v="Male"/>
    <n v="39"/>
    <x v="0"/>
    <s v="Vadodara"/>
    <s v="Fashion"/>
    <x v="7"/>
    <n v="2"/>
    <n v="1527.6"/>
    <n v="0.15"/>
    <n v="2596.92"/>
    <n v="1796.37"/>
    <n v="800.55"/>
    <s v="Debit Card"/>
    <s v="Neha"/>
    <s v="VIP"/>
    <n v="5"/>
  </r>
  <r>
    <s v="T0010"/>
    <d v="2025-10-26T00:00:00"/>
    <s v="14:50"/>
    <s v="C033"/>
    <s v="Aditya Shah"/>
    <s v="Female"/>
    <n v="22"/>
    <x v="0"/>
    <s v="Surat"/>
    <s v="Fashion"/>
    <x v="8"/>
    <n v="2"/>
    <n v="1889.31"/>
    <n v="0"/>
    <n v="3778.62"/>
    <n v="2804.88"/>
    <n v="973.74"/>
    <s v="Cash"/>
    <s v="Neha"/>
    <s v="New"/>
    <n v="5"/>
  </r>
  <r>
    <s v="T0011"/>
    <d v="2025-11-17T00:00:00"/>
    <s v="16:50"/>
    <s v="C020"/>
    <s v="Priya Patel"/>
    <s v="Female"/>
    <n v="25"/>
    <x v="0"/>
    <s v="Mumbai"/>
    <s v="Home"/>
    <x v="5"/>
    <n v="4"/>
    <n v="6902.08"/>
    <n v="0.08"/>
    <n v="25399.65"/>
    <n v="18688.38"/>
    <n v="6711.27"/>
    <s v="Debit Card"/>
    <s v="Amit"/>
    <s v="New"/>
    <n v="5"/>
  </r>
  <r>
    <s v="T0012"/>
    <d v="2025-11-10T00:00:00"/>
    <s v="18:40"/>
    <s v="C022"/>
    <s v="Mahi Patel"/>
    <s v="Female"/>
    <n v="41"/>
    <x v="2"/>
    <s v="Chennai"/>
    <s v="Electronics"/>
    <x v="3"/>
    <n v="3"/>
    <n v="28209.89"/>
    <n v="0"/>
    <n v="84629.67"/>
    <n v="66482.850000000006"/>
    <n v="18146.82"/>
    <s v="Cash"/>
    <s v="Pooja"/>
    <s v="VIP"/>
    <n v="4"/>
  </r>
  <r>
    <s v="T0013"/>
    <d v="2025-12-31T00:00:00"/>
    <s v="12:40"/>
    <s v="C006"/>
    <s v="Rohan Patel"/>
    <s v="Male"/>
    <n v="38"/>
    <x v="0"/>
    <s v="Ahmedabad"/>
    <s v="Fashion"/>
    <x v="0"/>
    <n v="4"/>
    <n v="2635.47"/>
    <n v="0.02"/>
    <n v="10331.040000000001"/>
    <n v="7472.03"/>
    <n v="2859.01"/>
    <s v="Debit Card"/>
    <s v="Amit"/>
    <s v="Returning"/>
    <n v="4"/>
  </r>
  <r>
    <s v="T0014"/>
    <d v="2025-12-12T00:00:00"/>
    <s v="13:10"/>
    <s v="C058"/>
    <s v="Meera Shah"/>
    <s v="Female"/>
    <n v="23"/>
    <x v="3"/>
    <s v="Bhubaneswar"/>
    <s v="Grocery"/>
    <x v="9"/>
    <n v="1"/>
    <n v="927.14"/>
    <n v="0"/>
    <n v="927.14"/>
    <n v="606.96"/>
    <n v="320.18"/>
    <s v="UPI"/>
    <s v="Neha"/>
    <s v="New"/>
    <n v="3"/>
  </r>
  <r>
    <s v="T0015"/>
    <d v="2025-08-25T00:00:00"/>
    <s v="13:00"/>
    <s v="C025"/>
    <s v="Jiya Patel"/>
    <s v="Female"/>
    <n v="25"/>
    <x v="2"/>
    <s v="Bengaluru"/>
    <s v="Grocery"/>
    <x v="9"/>
    <n v="5"/>
    <n v="916.09"/>
    <n v="0.05"/>
    <n v="4351.43"/>
    <n v="2913.48"/>
    <n v="1437.95"/>
    <s v="Debit Card"/>
    <s v="Vivek"/>
    <s v="New"/>
    <n v="4"/>
  </r>
  <r>
    <s v="T0016"/>
    <d v="2025-03-10T00:00:00"/>
    <s v="09:40"/>
    <s v="C028"/>
    <s v="Meera Patel"/>
    <s v="Male"/>
    <n v="45"/>
    <x v="2"/>
    <s v="Bengaluru"/>
    <s v="Grocery"/>
    <x v="4"/>
    <n v="5"/>
    <n v="248.97"/>
    <n v="0.02"/>
    <n v="1219.95"/>
    <n v="942.62"/>
    <n v="277.33"/>
    <s v="Net Banking"/>
    <s v="Pooja"/>
    <s v="New"/>
    <n v="4"/>
  </r>
  <r>
    <s v="T0017"/>
    <d v="2025-09-07T00:00:00"/>
    <s v="18:40"/>
    <s v="C023"/>
    <s v="Aanya Patel"/>
    <s v="Male"/>
    <n v="58"/>
    <x v="0"/>
    <s v="Vadodara"/>
    <s v="Fashion"/>
    <x v="8"/>
    <n v="4"/>
    <n v="1763.89"/>
    <n v="0.02"/>
    <n v="6914.45"/>
    <n v="5577.8"/>
    <n v="1336.65"/>
    <s v="UPI"/>
    <s v="Vivek"/>
    <s v="Returning"/>
    <n v="5"/>
  </r>
  <r>
    <s v="T0018"/>
    <d v="2025-09-04T00:00:00"/>
    <s v="10:00"/>
    <s v="C016"/>
    <s v="Anaya Patel"/>
    <s v="Female"/>
    <n v="57"/>
    <x v="2"/>
    <s v="Chennai"/>
    <s v="Grocery"/>
    <x v="4"/>
    <n v="3"/>
    <n v="262.04000000000002"/>
    <n v="0.08"/>
    <n v="723.23"/>
    <n v="504.55"/>
    <n v="218.68"/>
    <s v="Cash"/>
    <s v="Amit"/>
    <s v="Returning"/>
    <n v="4"/>
  </r>
  <r>
    <s v="T0019"/>
    <d v="2025-09-25T00:00:00"/>
    <s v="11:00"/>
    <s v="C037"/>
    <s v="Rahul Shah"/>
    <s v="Female"/>
    <n v="49"/>
    <x v="3"/>
    <s v="Kolkata"/>
    <s v="Grocery"/>
    <x v="10"/>
    <n v="3"/>
    <n v="285.39999999999998"/>
    <n v="0.1"/>
    <n v="770.58"/>
    <n v="510.83"/>
    <n v="259.75"/>
    <s v="Credit Card"/>
    <s v="Vivek"/>
    <s v="New"/>
    <n v="5"/>
  </r>
  <r>
    <s v="T0020"/>
    <d v="2025-03-31T00:00:00"/>
    <s v="16:30"/>
    <s v="C017"/>
    <s v="Diya Patel"/>
    <s v="Female"/>
    <n v="59"/>
    <x v="2"/>
    <s v="Chennai"/>
    <s v="Grocery"/>
    <x v="10"/>
    <n v="2"/>
    <n v="288.51"/>
    <n v="0.08"/>
    <n v="530.86"/>
    <n v="402.7"/>
    <n v="128.16"/>
    <s v="Credit Card"/>
    <s v="Vivek"/>
    <s v="VIP"/>
    <n v="3"/>
  </r>
  <r>
    <s v="T0021"/>
    <d v="2025-10-04T00:00:00"/>
    <s v="17:20"/>
    <s v="C025"/>
    <s v="Jiya Patel"/>
    <s v="Female"/>
    <n v="25"/>
    <x v="2"/>
    <s v="Bengaluru"/>
    <s v="Electronics"/>
    <x v="11"/>
    <n v="3"/>
    <n v="59316.45"/>
    <n v="0.08"/>
    <n v="163713.4"/>
    <n v="113683.18"/>
    <n v="50030.22"/>
    <s v="Net Banking"/>
    <s v="Pooja"/>
    <s v="Returning"/>
    <n v="5"/>
  </r>
  <r>
    <s v="T0022"/>
    <d v="2025-12-21T00:00:00"/>
    <s v="17:40"/>
    <s v="C025"/>
    <s v="Jiya Patel"/>
    <s v="Female"/>
    <n v="25"/>
    <x v="2"/>
    <s v="Bengaluru"/>
    <s v="Grocery"/>
    <x v="10"/>
    <n v="4"/>
    <n v="315.67"/>
    <n v="0.15"/>
    <n v="1073.28"/>
    <n v="729.32"/>
    <n v="343.96"/>
    <s v="Debit Card"/>
    <s v="Amit"/>
    <s v="New"/>
    <n v="5"/>
  </r>
  <r>
    <s v="T0023"/>
    <d v="2025-03-17T00:00:00"/>
    <s v="17:45"/>
    <s v="C019"/>
    <s v="Riya Patel"/>
    <s v="Female"/>
    <n v="53"/>
    <x v="2"/>
    <s v="Chennai"/>
    <s v="Grocery"/>
    <x v="9"/>
    <n v="4"/>
    <n v="910.58"/>
    <n v="0.1"/>
    <n v="3278.09"/>
    <n v="2092.54"/>
    <n v="1185.55"/>
    <s v="Cash"/>
    <s v="Amit"/>
    <s v="Returning"/>
    <n v="4"/>
  </r>
  <r>
    <s v="T0024"/>
    <d v="2025-05-31T00:00:00"/>
    <s v="17:45"/>
    <s v="C053"/>
    <s v="Aanya Shah"/>
    <s v="Female"/>
    <n v="54"/>
    <x v="2"/>
    <s v="Hyderabad"/>
    <s v="Electronics"/>
    <x v="3"/>
    <n v="2"/>
    <n v="27876.28"/>
    <n v="0.02"/>
    <n v="54637.51"/>
    <n v="38700.080000000002"/>
    <n v="15937.43"/>
    <s v="Net Banking"/>
    <s v="Karan"/>
    <s v="Returning"/>
    <n v="5"/>
  </r>
  <r>
    <s v="T0025"/>
    <d v="2025-03-15T00:00:00"/>
    <s v="18:20"/>
    <s v="C009"/>
    <s v="Yash Patel"/>
    <s v="Female"/>
    <n v="32"/>
    <x v="2"/>
    <s v="Kochi"/>
    <s v="Grocery"/>
    <x v="10"/>
    <n v="5"/>
    <n v="286.68"/>
    <n v="0"/>
    <n v="1433.4"/>
    <n v="1124.32"/>
    <n v="309.08"/>
    <s v="Credit Card"/>
    <s v="Neha"/>
    <s v="New"/>
    <n v="3"/>
  </r>
  <r>
    <s v="T0026"/>
    <d v="2025-05-16T00:00:00"/>
    <s v="09:40"/>
    <s v="C019"/>
    <s v="Riya Patel"/>
    <s v="Female"/>
    <n v="53"/>
    <x v="2"/>
    <s v="Chennai"/>
    <s v="Beauty"/>
    <x v="12"/>
    <n v="1"/>
    <n v="1217.6400000000001"/>
    <n v="0.08"/>
    <n v="1120.23"/>
    <n v="778.84"/>
    <n v="341.39"/>
    <s v="Debit Card"/>
    <s v="Vivek"/>
    <s v="Returning"/>
    <n v="5"/>
  </r>
  <r>
    <s v="T0027"/>
    <d v="2025-12-12T00:00:00"/>
    <s v="11:45"/>
    <s v="C010"/>
    <s v="Dev Patel"/>
    <s v="Male"/>
    <n v="20"/>
    <x v="1"/>
    <s v="Jaipur"/>
    <s v="Home"/>
    <x v="1"/>
    <n v="5"/>
    <n v="3446.91"/>
    <n v="0.15"/>
    <n v="14649.37"/>
    <n v="9247.57"/>
    <n v="5401.8"/>
    <s v="Cash"/>
    <s v="Vivek"/>
    <s v="Returning"/>
    <n v="5"/>
  </r>
  <r>
    <s v="T0028"/>
    <d v="2025-12-14T00:00:00"/>
    <s v="17:45"/>
    <s v="C003"/>
    <s v="Aditya Patel"/>
    <s v="Female"/>
    <n v="28"/>
    <x v="1"/>
    <s v="Chandigarh"/>
    <s v="Home"/>
    <x v="1"/>
    <n v="1"/>
    <n v="3345.21"/>
    <n v="0.15"/>
    <n v="2843.43"/>
    <n v="2219.0700000000002"/>
    <n v="624.36"/>
    <s v="Net Banking"/>
    <s v="Vivek"/>
    <s v="New"/>
    <n v="5"/>
  </r>
  <r>
    <s v="T0029"/>
    <d v="2025-08-01T00:00:00"/>
    <s v="19:20"/>
    <s v="C054"/>
    <s v="Khushi Shah"/>
    <s v="Male"/>
    <n v="19"/>
    <x v="0"/>
    <s v="Mumbai"/>
    <s v="Electronics"/>
    <x v="13"/>
    <n v="3"/>
    <n v="2687.72"/>
    <n v="0.02"/>
    <n v="7901.9"/>
    <n v="5161.8599999999997"/>
    <n v="2740.04"/>
    <s v="UPI"/>
    <s v="Riya"/>
    <s v="New"/>
    <n v="5"/>
  </r>
  <r>
    <s v="T0030"/>
    <d v="2025-09-16T00:00:00"/>
    <s v="15:00"/>
    <s v="C054"/>
    <s v="Khushi Shah"/>
    <s v="Male"/>
    <n v="19"/>
    <x v="0"/>
    <s v="Mumbai"/>
    <s v="Grocery"/>
    <x v="10"/>
    <n v="4"/>
    <n v="281.12"/>
    <n v="0.1"/>
    <n v="1012.03"/>
    <n v="683.6"/>
    <n v="328.43"/>
    <s v="Cash"/>
    <s v="Pooja"/>
    <s v="Returning"/>
    <n v="4"/>
  </r>
  <r>
    <s v="T0031"/>
    <d v="2025-01-28T00:00:00"/>
    <s v="20:30"/>
    <s v="C050"/>
    <s v="Priya Shah"/>
    <s v="Female"/>
    <n v="29"/>
    <x v="2"/>
    <s v="Chennai"/>
    <s v="Grocery"/>
    <x v="4"/>
    <n v="3"/>
    <n v="257.93"/>
    <n v="0"/>
    <n v="773.79"/>
    <n v="523.04999999999995"/>
    <n v="250.74"/>
    <s v="Net Banking"/>
    <s v="Pooja"/>
    <s v="Returning"/>
    <n v="4"/>
  </r>
  <r>
    <s v="T0032"/>
    <d v="2025-02-15T00:00:00"/>
    <s v="11:30"/>
    <s v="C013"/>
    <s v="Aryan Patel"/>
    <s v="Female"/>
    <n v="19"/>
    <x v="2"/>
    <s v="Chennai"/>
    <s v="Grocery"/>
    <x v="9"/>
    <n v="5"/>
    <n v="916.33"/>
    <n v="0.02"/>
    <n v="4490.0200000000004"/>
    <n v="2858.12"/>
    <n v="1631.9"/>
    <s v="Credit Card"/>
    <s v="Karan"/>
    <s v="New"/>
    <n v="3"/>
  </r>
  <r>
    <s v="T0033"/>
    <d v="2025-03-06T00:00:00"/>
    <s v="10:50"/>
    <s v="C033"/>
    <s v="Aditya Shah"/>
    <s v="Female"/>
    <n v="22"/>
    <x v="0"/>
    <s v="Surat"/>
    <s v="Grocery"/>
    <x v="9"/>
    <n v="5"/>
    <n v="935.94"/>
    <n v="0"/>
    <n v="4679.7"/>
    <n v="3809.2"/>
    <n v="870.5"/>
    <s v="Debit Card"/>
    <s v="Amit"/>
    <s v="Returning"/>
    <n v="4"/>
  </r>
  <r>
    <s v="T0034"/>
    <d v="2025-11-07T00:00:00"/>
    <s v="14:20"/>
    <s v="C035"/>
    <s v="Arjun Shah"/>
    <s v="Female"/>
    <n v="43"/>
    <x v="3"/>
    <s v="Guwahati"/>
    <s v="Beauty"/>
    <x v="12"/>
    <n v="5"/>
    <n v="1295.3499999999999"/>
    <n v="0.1"/>
    <n v="5829.07"/>
    <n v="4296.2"/>
    <n v="1532.87"/>
    <s v="Net Banking"/>
    <s v="Vivek"/>
    <s v="Returning"/>
    <n v="4"/>
  </r>
  <r>
    <s v="T0035"/>
    <d v="2025-03-19T00:00:00"/>
    <s v="17:40"/>
    <s v="C021"/>
    <s v="Kavya Patel"/>
    <s v="Male"/>
    <n v="57"/>
    <x v="1"/>
    <s v="Delhi"/>
    <s v="Electronics"/>
    <x v="11"/>
    <n v="5"/>
    <n v="52423.6"/>
    <n v="0"/>
    <n v="262118"/>
    <n v="197726.13"/>
    <n v="64391.87"/>
    <s v="Credit Card"/>
    <s v="Pooja"/>
    <s v="New"/>
    <n v="3"/>
  </r>
  <r>
    <s v="T0036"/>
    <d v="2025-06-11T00:00:00"/>
    <s v="14:40"/>
    <s v="C058"/>
    <s v="Meera Shah"/>
    <s v="Female"/>
    <n v="23"/>
    <x v="3"/>
    <s v="Bhubaneswar"/>
    <s v="Grocery"/>
    <x v="10"/>
    <n v="4"/>
    <n v="315.19"/>
    <n v="0.08"/>
    <n v="1159.9000000000001"/>
    <n v="849.26"/>
    <n v="310.64"/>
    <s v="Debit Card"/>
    <s v="Amit"/>
    <s v="Returning"/>
    <n v="4"/>
  </r>
  <r>
    <s v="T0037"/>
    <d v="2025-07-26T00:00:00"/>
    <s v="13:30"/>
    <s v="C023"/>
    <s v="Aanya Patel"/>
    <s v="Male"/>
    <n v="58"/>
    <x v="0"/>
    <s v="Vadodara"/>
    <s v="Fashion"/>
    <x v="0"/>
    <n v="3"/>
    <n v="2980.61"/>
    <n v="0.08"/>
    <n v="8226.48"/>
    <n v="6713.57"/>
    <n v="1512.91"/>
    <s v="Credit Card"/>
    <s v="Neha"/>
    <s v="Returning"/>
    <n v="4"/>
  </r>
  <r>
    <s v="T0038"/>
    <d v="2025-11-04T00:00:00"/>
    <s v="17:40"/>
    <s v="C051"/>
    <s v="Kavya Shah"/>
    <s v="Male"/>
    <n v="54"/>
    <x v="0"/>
    <s v="Mumbai"/>
    <s v="Home"/>
    <x v="14"/>
    <n v="4"/>
    <n v="8709.06"/>
    <n v="0.02"/>
    <n v="34139.519999999997"/>
    <n v="27054.639999999999"/>
    <n v="7084.88"/>
    <s v="Net Banking"/>
    <s v="Vivek"/>
    <s v="New"/>
    <n v="5"/>
  </r>
  <r>
    <s v="T0039"/>
    <d v="2025-09-30T00:00:00"/>
    <s v="20:20"/>
    <s v="C010"/>
    <s v="Dev Patel"/>
    <s v="Male"/>
    <n v="20"/>
    <x v="1"/>
    <s v="Jaipur"/>
    <s v="Home"/>
    <x v="5"/>
    <n v="5"/>
    <n v="6341.31"/>
    <n v="0.15"/>
    <n v="26950.57"/>
    <n v="20123.46"/>
    <n v="6827.11"/>
    <s v="Debit Card"/>
    <s v="Karan"/>
    <s v="Returning"/>
    <n v="4"/>
  </r>
  <r>
    <s v="T0040"/>
    <d v="2025-04-05T00:00:00"/>
    <s v="19:40"/>
    <s v="C016"/>
    <s v="Anaya Patel"/>
    <s v="Female"/>
    <n v="57"/>
    <x v="2"/>
    <s v="Chennai"/>
    <s v="Fashion"/>
    <x v="7"/>
    <n v="4"/>
    <n v="1462.96"/>
    <n v="0.05"/>
    <n v="5559.25"/>
    <n v="4418.8500000000004"/>
    <n v="1140.4000000000001"/>
    <s v="Debit Card"/>
    <s v="Vivek"/>
    <s v="VIP"/>
    <n v="5"/>
  </r>
  <r>
    <s v="T0041"/>
    <d v="2025-10-04T00:00:00"/>
    <s v="13:10"/>
    <s v="C051"/>
    <s v="Kavya Shah"/>
    <s v="Male"/>
    <n v="54"/>
    <x v="0"/>
    <s v="Mumbai"/>
    <s v="Electronics"/>
    <x v="11"/>
    <n v="5"/>
    <n v="55428.69"/>
    <n v="0.1"/>
    <n v="249429.11"/>
    <n v="177632.38"/>
    <n v="71796.73"/>
    <s v="Credit Card"/>
    <s v="Riya"/>
    <s v="Returning"/>
    <n v="4"/>
  </r>
  <r>
    <s v="T0042"/>
    <d v="2025-03-14T00:00:00"/>
    <s v="18:00"/>
    <s v="C045"/>
    <s v="Manav Shah"/>
    <s v="Male"/>
    <n v="30"/>
    <x v="3"/>
    <s v="Kolkata"/>
    <s v="Fashion"/>
    <x v="8"/>
    <n v="3"/>
    <n v="1921.21"/>
    <n v="0.1"/>
    <n v="5187.2700000000004"/>
    <n v="3218.8"/>
    <n v="1968.47"/>
    <s v="Cash"/>
    <s v="Amit"/>
    <s v="New"/>
    <n v="4"/>
  </r>
  <r>
    <s v="T0043"/>
    <d v="2025-07-26T00:00:00"/>
    <s v="16:40"/>
    <s v="C052"/>
    <s v="Mahi Shah"/>
    <s v="Female"/>
    <n v="19"/>
    <x v="0"/>
    <s v="Mumbai"/>
    <s v="Electronics"/>
    <x v="15"/>
    <n v="2"/>
    <n v="5197.9799999999996"/>
    <n v="0.15"/>
    <n v="8836.57"/>
    <n v="5739.77"/>
    <n v="3096.8"/>
    <s v="Debit Card"/>
    <s v="Karan"/>
    <s v="VIP"/>
    <n v="4"/>
  </r>
  <r>
    <s v="T0044"/>
    <d v="2025-10-01T00:00:00"/>
    <s v="18:40"/>
    <s v="C047"/>
    <s v="Diya Shah"/>
    <s v="Male"/>
    <n v="50"/>
    <x v="2"/>
    <s v="Bengaluru"/>
    <s v="Fashion"/>
    <x v="0"/>
    <n v="1"/>
    <n v="2906.36"/>
    <n v="0.08"/>
    <n v="2673.85"/>
    <n v="1668.52"/>
    <n v="1005.33"/>
    <s v="UPI"/>
    <s v="Amit"/>
    <s v="New"/>
    <n v="4"/>
  </r>
  <r>
    <s v="T0045"/>
    <d v="2025-01-25T00:00:00"/>
    <s v="09:30"/>
    <s v="C044"/>
    <s v="Harsh Shah"/>
    <s v="Male"/>
    <n v="18"/>
    <x v="2"/>
    <s v="Bengaluru"/>
    <s v="Fashion"/>
    <x v="7"/>
    <n v="2"/>
    <n v="1569.4"/>
    <n v="0.1"/>
    <n v="2824.92"/>
    <n v="2022.41"/>
    <n v="802.51"/>
    <s v="Cash"/>
    <s v="Riya"/>
    <s v="Returning"/>
    <n v="5"/>
  </r>
  <r>
    <s v="T0046"/>
    <d v="2025-08-24T00:00:00"/>
    <s v="11:10"/>
    <s v="C049"/>
    <s v="Riya Shah"/>
    <s v="Male"/>
    <n v="41"/>
    <x v="2"/>
    <s v="Kochi"/>
    <s v="Home"/>
    <x v="5"/>
    <n v="4"/>
    <n v="6651.75"/>
    <n v="0.02"/>
    <n v="26074.86"/>
    <n v="17440.71"/>
    <n v="8634.15"/>
    <s v="Debit Card"/>
    <s v="Vivek"/>
    <s v="Returning"/>
    <n v="5"/>
  </r>
  <r>
    <s v="T0047"/>
    <d v="2025-05-30T00:00:00"/>
    <s v="13:40"/>
    <s v="C053"/>
    <s v="Aanya Shah"/>
    <s v="Female"/>
    <n v="54"/>
    <x v="2"/>
    <s v="Hyderabad"/>
    <s v="Home"/>
    <x v="16"/>
    <n v="4"/>
    <n v="1901.04"/>
    <n v="0.15"/>
    <n v="6463.54"/>
    <n v="4375.9399999999996"/>
    <n v="2087.6"/>
    <s v="UPI"/>
    <s v="Karan"/>
    <s v="Returning"/>
    <n v="4"/>
  </r>
  <r>
    <s v="T0048"/>
    <d v="2025-08-11T00:00:00"/>
    <s v="14:10"/>
    <s v="C036"/>
    <s v="Rohan Shah"/>
    <s v="Male"/>
    <n v="49"/>
    <x v="2"/>
    <s v="Hyderabad"/>
    <s v="Fashion"/>
    <x v="0"/>
    <n v="4"/>
    <n v="2578.37"/>
    <n v="0.15"/>
    <n v="8766.4599999999991"/>
    <n v="5887.38"/>
    <n v="2879.08"/>
    <s v="Debit Card"/>
    <s v="Riya"/>
    <s v="VIP"/>
    <n v="4"/>
  </r>
  <r>
    <s v="T0049"/>
    <d v="2025-01-26T00:00:00"/>
    <s v="11:30"/>
    <s v="C008"/>
    <s v="Dhruv Patel"/>
    <s v="Female"/>
    <n v="59"/>
    <x v="3"/>
    <s v="Guwahati"/>
    <s v="Beauty"/>
    <x v="17"/>
    <n v="2"/>
    <n v="534.48"/>
    <n v="0.05"/>
    <n v="1015.51"/>
    <n v="670.14"/>
    <n v="345.37"/>
    <s v="Cash"/>
    <s v="Amit"/>
    <s v="Returning"/>
    <n v="5"/>
  </r>
  <r>
    <s v="T0050"/>
    <d v="2025-11-16T00:00:00"/>
    <s v="14:30"/>
    <s v="C014"/>
    <s v="Harsh Patel"/>
    <s v="Female"/>
    <n v="24"/>
    <x v="2"/>
    <s v="Kochi"/>
    <s v="Fashion"/>
    <x v="0"/>
    <n v="4"/>
    <n v="2719.65"/>
    <n v="0.05"/>
    <n v="10334.67"/>
    <n v="6514.61"/>
    <n v="3820.06"/>
    <s v="Credit Card"/>
    <s v="Neha"/>
    <s v="Returning"/>
    <n v="4"/>
  </r>
  <r>
    <s v="T0051"/>
    <d v="2025-01-13T00:00:00"/>
    <s v="16:10"/>
    <s v="C002"/>
    <s v="Vivaan Patel"/>
    <s v="Female"/>
    <n v="56"/>
    <x v="0"/>
    <s v="Surat"/>
    <s v="Electronics"/>
    <x v="13"/>
    <n v="5"/>
    <n v="2301.08"/>
    <n v="0"/>
    <n v="11505.4"/>
    <n v="8503.9599999999991"/>
    <n v="3001.44"/>
    <s v="Debit Card"/>
    <s v="Riya"/>
    <s v="New"/>
    <n v="5"/>
  </r>
  <r>
    <s v="T0052"/>
    <d v="2025-08-24T00:00:00"/>
    <s v="10:40"/>
    <s v="C060"/>
    <s v="Shreya Shah"/>
    <s v="Female"/>
    <n v="23"/>
    <x v="1"/>
    <s v="Chandigarh"/>
    <s v="Grocery"/>
    <x v="9"/>
    <n v="1"/>
    <n v="857.52"/>
    <n v="0.05"/>
    <n v="814.64"/>
    <n v="515.91"/>
    <n v="298.73"/>
    <s v="Cash"/>
    <s v="Vivek"/>
    <s v="New"/>
    <n v="5"/>
  </r>
  <r>
    <s v="T0053"/>
    <d v="2025-11-12T00:00:00"/>
    <s v="11:30"/>
    <s v="C014"/>
    <s v="Harsh Patel"/>
    <s v="Female"/>
    <n v="24"/>
    <x v="2"/>
    <s v="Kochi"/>
    <s v="Electronics"/>
    <x v="13"/>
    <n v="3"/>
    <n v="2553.5"/>
    <n v="0.15"/>
    <n v="6511.43"/>
    <n v="4504.3900000000003"/>
    <n v="2007.04"/>
    <s v="Net Banking"/>
    <s v="Neha"/>
    <s v="Returning"/>
    <n v="5"/>
  </r>
  <r>
    <s v="T0054"/>
    <d v="2025-04-14T00:00:00"/>
    <s v="11:30"/>
    <s v="C039"/>
    <s v="Yash Shah"/>
    <s v="Male"/>
    <n v="53"/>
    <x v="3"/>
    <s v="Kolkata"/>
    <s v="Home"/>
    <x v="14"/>
    <n v="1"/>
    <n v="8614.39"/>
    <n v="0"/>
    <n v="8614.39"/>
    <n v="6015.4"/>
    <n v="2598.9899999999998"/>
    <s v="Credit Card"/>
    <s v="Riya"/>
    <s v="New"/>
    <n v="4"/>
  </r>
  <r>
    <s v="T0055"/>
    <d v="2025-07-17T00:00:00"/>
    <s v="14:15"/>
    <s v="C039"/>
    <s v="Yash Shah"/>
    <s v="Male"/>
    <n v="53"/>
    <x v="3"/>
    <s v="Kolkata"/>
    <s v="Fashion"/>
    <x v="7"/>
    <n v="2"/>
    <n v="1413.43"/>
    <n v="0.1"/>
    <n v="2544.17"/>
    <n v="1829.47"/>
    <n v="714.7"/>
    <s v="Debit Card"/>
    <s v="Pooja"/>
    <s v="VIP"/>
    <n v="5"/>
  </r>
  <r>
    <s v="T0056"/>
    <d v="2025-10-16T00:00:00"/>
    <s v="12:40"/>
    <s v="C037"/>
    <s v="Rahul Shah"/>
    <s v="Female"/>
    <n v="49"/>
    <x v="3"/>
    <s v="Kolkata"/>
    <s v="Beauty"/>
    <x v="18"/>
    <n v="3"/>
    <n v="468.33"/>
    <n v="0.15"/>
    <n v="1194.24"/>
    <n v="936.58"/>
    <n v="257.66000000000003"/>
    <s v="Cash"/>
    <s v="Vivek"/>
    <s v="New"/>
    <n v="4"/>
  </r>
  <r>
    <s v="T0057"/>
    <d v="2025-05-16T00:00:00"/>
    <s v="13:30"/>
    <s v="C029"/>
    <s v="Avni Patel"/>
    <s v="Male"/>
    <n v="51"/>
    <x v="0"/>
    <s v="Vadodara"/>
    <s v="Electronics"/>
    <x v="15"/>
    <n v="5"/>
    <n v="5176.03"/>
    <n v="0.05"/>
    <n v="24586.14"/>
    <n v="18655.71"/>
    <n v="5930.43"/>
    <s v="Cash"/>
    <s v="Neha"/>
    <s v="New"/>
    <n v="4"/>
  </r>
  <r>
    <s v="T0058"/>
    <d v="2025-09-11T00:00:00"/>
    <s v="18:50"/>
    <s v="C011"/>
    <s v="Ishaan Patel"/>
    <s v="Male"/>
    <n v="26"/>
    <x v="3"/>
    <s v="Kolkata"/>
    <s v="Fashion"/>
    <x v="7"/>
    <n v="2"/>
    <n v="1607.35"/>
    <n v="0.08"/>
    <n v="2957.52"/>
    <n v="2373.0300000000002"/>
    <n v="584.49"/>
    <s v="Credit Card"/>
    <s v="Amit"/>
    <s v="New"/>
    <n v="5"/>
  </r>
  <r>
    <s v="T0059"/>
    <d v="2025-12-22T00:00:00"/>
    <s v="12:30"/>
    <s v="C043"/>
    <s v="Aryan Shah"/>
    <s v="Male"/>
    <n v="45"/>
    <x v="0"/>
    <s v="Vadodara"/>
    <s v="Grocery"/>
    <x v="4"/>
    <n v="2"/>
    <n v="260.85000000000002"/>
    <n v="0.02"/>
    <n v="511.27"/>
    <n v="324.02999999999997"/>
    <n v="187.24"/>
    <s v="Debit Card"/>
    <s v="Vivek"/>
    <s v="New"/>
    <n v="5"/>
  </r>
  <r>
    <s v="T0060"/>
    <d v="2025-09-14T00:00:00"/>
    <s v="13:30"/>
    <s v="C011"/>
    <s v="Ishaan Patel"/>
    <s v="Male"/>
    <n v="26"/>
    <x v="3"/>
    <s v="Kolkata"/>
    <s v="Electronics"/>
    <x v="15"/>
    <n v="1"/>
    <n v="4865.72"/>
    <n v="0.15"/>
    <n v="4135.8599999999997"/>
    <n v="2993.4"/>
    <n v="1142.46"/>
    <s v="Net Banking"/>
    <s v="Amit"/>
    <s v="Returning"/>
    <n v="4"/>
  </r>
  <r>
    <s v="T0061"/>
    <d v="2025-04-27T00:00:00"/>
    <s v="18:00"/>
    <s v="C057"/>
    <s v="Pooja Shah"/>
    <s v="Female"/>
    <n v="55"/>
    <x v="2"/>
    <s v="Hyderabad"/>
    <s v="Electronics"/>
    <x v="15"/>
    <n v="1"/>
    <n v="5290.81"/>
    <n v="0.15"/>
    <n v="4497.1899999999996"/>
    <n v="3099.77"/>
    <n v="1397.42"/>
    <s v="Credit Card"/>
    <s v="Karan"/>
    <s v="Returning"/>
    <n v="4"/>
  </r>
  <r>
    <s v="T0062"/>
    <d v="2025-12-30T00:00:00"/>
    <s v="19:15"/>
    <s v="C043"/>
    <s v="Aryan Shah"/>
    <s v="Male"/>
    <n v="45"/>
    <x v="0"/>
    <s v="Vadodara"/>
    <s v="Electronics"/>
    <x v="11"/>
    <n v="4"/>
    <n v="54286.54"/>
    <n v="0"/>
    <n v="217146.16"/>
    <n v="150369.10999999999"/>
    <n v="66777.05"/>
    <s v="Debit Card"/>
    <s v="Riya"/>
    <s v="New"/>
    <n v="4"/>
  </r>
  <r>
    <s v="T0063"/>
    <d v="2025-12-03T00:00:00"/>
    <s v="12:00"/>
    <s v="C049"/>
    <s v="Riya Shah"/>
    <s v="Male"/>
    <n v="41"/>
    <x v="2"/>
    <s v="Kochi"/>
    <s v="Electronics"/>
    <x v="3"/>
    <n v="4"/>
    <n v="30168.33"/>
    <n v="0"/>
    <n v="120673.32"/>
    <n v="82048.11"/>
    <n v="38625.21"/>
    <s v="Net Banking"/>
    <s v="Riya"/>
    <s v="Returning"/>
    <n v="4"/>
  </r>
  <r>
    <s v="T0064"/>
    <d v="2025-11-14T00:00:00"/>
    <s v="09:30"/>
    <s v="C019"/>
    <s v="Riya Patel"/>
    <s v="Female"/>
    <n v="53"/>
    <x v="2"/>
    <s v="Chennai"/>
    <s v="Home"/>
    <x v="16"/>
    <n v="3"/>
    <n v="1674.92"/>
    <n v="0.15"/>
    <n v="4271.05"/>
    <n v="3258.01"/>
    <n v="1013.04"/>
    <s v="Credit Card"/>
    <s v="Neha"/>
    <s v="Returning"/>
    <n v="4"/>
  </r>
  <r>
    <s v="T0065"/>
    <d v="2025-06-15T00:00:00"/>
    <s v="11:45"/>
    <s v="C030"/>
    <s v="Shreya Patel"/>
    <s v="Male"/>
    <n v="41"/>
    <x v="1"/>
    <s v="Chandigarh"/>
    <s v="Electronics"/>
    <x v="15"/>
    <n v="5"/>
    <n v="4660.3999999999996"/>
    <n v="0.05"/>
    <n v="22136.9"/>
    <n v="15377.66"/>
    <n v="6759.24"/>
    <s v="Credit Card"/>
    <s v="Karan"/>
    <s v="Returning"/>
    <n v="4"/>
  </r>
  <r>
    <s v="T0066"/>
    <d v="2025-02-24T00:00:00"/>
    <s v="20:50"/>
    <s v="C023"/>
    <s v="Aanya Patel"/>
    <s v="Male"/>
    <n v="58"/>
    <x v="0"/>
    <s v="Vadodara"/>
    <s v="Beauty"/>
    <x v="18"/>
    <n v="1"/>
    <n v="453.72"/>
    <n v="0.05"/>
    <n v="431.03"/>
    <n v="287.16000000000003"/>
    <n v="143.87"/>
    <s v="Debit Card"/>
    <s v="Vivek"/>
    <s v="Returning"/>
    <n v="4"/>
  </r>
  <r>
    <s v="T0067"/>
    <d v="2025-03-08T00:00:00"/>
    <s v="11:00"/>
    <s v="C037"/>
    <s v="Rahul Shah"/>
    <s v="Female"/>
    <n v="49"/>
    <x v="3"/>
    <s v="Kolkata"/>
    <s v="Fashion"/>
    <x v="7"/>
    <n v="2"/>
    <n v="1573.28"/>
    <n v="0.15"/>
    <n v="2674.58"/>
    <n v="1980.9"/>
    <n v="693.68"/>
    <s v="Debit Card"/>
    <s v="Pooja"/>
    <s v="VIP"/>
    <n v="3"/>
  </r>
  <r>
    <s v="T0068"/>
    <d v="2025-08-11T00:00:00"/>
    <s v="15:50"/>
    <s v="C014"/>
    <s v="Harsh Patel"/>
    <s v="Female"/>
    <n v="24"/>
    <x v="2"/>
    <s v="Kochi"/>
    <s v="Electronics"/>
    <x v="3"/>
    <n v="1"/>
    <n v="28597.85"/>
    <n v="0.05"/>
    <n v="27167.96"/>
    <n v="17511.25"/>
    <n v="9656.7099999999991"/>
    <s v="Debit Card"/>
    <s v="Pooja"/>
    <s v="Returning"/>
    <n v="5"/>
  </r>
  <r>
    <s v="T0069"/>
    <d v="2025-10-30T00:00:00"/>
    <s v="13:20"/>
    <s v="C001"/>
    <s v="Aarav Patel"/>
    <s v="Male"/>
    <n v="32"/>
    <x v="2"/>
    <s v="Bengaluru"/>
    <s v="Home"/>
    <x v="14"/>
    <n v="2"/>
    <n v="8802.81"/>
    <n v="0.08"/>
    <n v="16197.17"/>
    <n v="12733.1"/>
    <n v="3464.07"/>
    <s v="Net Banking"/>
    <s v="Riya"/>
    <s v="Returning"/>
    <n v="4"/>
  </r>
  <r>
    <s v="T0070"/>
    <d v="2025-12-21T00:00:00"/>
    <s v="12:10"/>
    <s v="C053"/>
    <s v="Aanya Shah"/>
    <s v="Female"/>
    <n v="54"/>
    <x v="2"/>
    <s v="Hyderabad"/>
    <s v="Beauty"/>
    <x v="19"/>
    <n v="1"/>
    <n v="1906.12"/>
    <n v="0.05"/>
    <n v="1810.81"/>
    <n v="1446.68"/>
    <n v="364.13"/>
    <s v="UPI"/>
    <s v="Neha"/>
    <s v="New"/>
    <n v="4"/>
  </r>
  <r>
    <s v="T0071"/>
    <d v="2025-08-25T00:00:00"/>
    <s v="17:45"/>
    <s v="C040"/>
    <s v="Dev Shah"/>
    <s v="Female"/>
    <n v="39"/>
    <x v="1"/>
    <s v="Chandigarh"/>
    <s v="Electronics"/>
    <x v="3"/>
    <n v="3"/>
    <n v="29624.18"/>
    <n v="0.02"/>
    <n v="87095.09"/>
    <n v="63155.96"/>
    <n v="23939.13"/>
    <s v="Net Banking"/>
    <s v="Neha"/>
    <s v="New"/>
    <n v="3"/>
  </r>
  <r>
    <s v="T0072"/>
    <d v="2025-05-08T00:00:00"/>
    <s v="13:10"/>
    <s v="C018"/>
    <s v="Isha Patel"/>
    <s v="Female"/>
    <n v="35"/>
    <x v="1"/>
    <s v="Chandigarh"/>
    <s v="Fashion"/>
    <x v="8"/>
    <n v="2"/>
    <n v="1815.6"/>
    <n v="0"/>
    <n v="3631.2"/>
    <n v="2612.62"/>
    <n v="1018.58"/>
    <s v="Cash"/>
    <s v="Vivek"/>
    <s v="New"/>
    <n v="3"/>
  </r>
  <r>
    <s v="T0073"/>
    <d v="2025-10-14T00:00:00"/>
    <s v="14:15"/>
    <s v="C057"/>
    <s v="Pooja Shah"/>
    <s v="Female"/>
    <n v="55"/>
    <x v="2"/>
    <s v="Hyderabad"/>
    <s v="Fashion"/>
    <x v="7"/>
    <n v="5"/>
    <n v="1539.61"/>
    <n v="0.02"/>
    <n v="7544.09"/>
    <n v="6057.02"/>
    <n v="1487.07"/>
    <s v="Credit Card"/>
    <s v="Vivek"/>
    <s v="Returning"/>
    <n v="4"/>
  </r>
  <r>
    <s v="T0074"/>
    <d v="2025-11-06T00:00:00"/>
    <s v="19:00"/>
    <s v="C002"/>
    <s v="Vivaan Patel"/>
    <s v="Female"/>
    <n v="56"/>
    <x v="0"/>
    <s v="Surat"/>
    <s v="Electronics"/>
    <x v="15"/>
    <n v="3"/>
    <n v="4796.28"/>
    <n v="0.1"/>
    <n v="12949.96"/>
    <n v="10197"/>
    <n v="2752.96"/>
    <s v="Debit Card"/>
    <s v="Pooja"/>
    <s v="Returning"/>
    <n v="4"/>
  </r>
  <r>
    <s v="T0075"/>
    <d v="2025-11-06T00:00:00"/>
    <s v="10:45"/>
    <s v="C035"/>
    <s v="Arjun Shah"/>
    <s v="Female"/>
    <n v="43"/>
    <x v="3"/>
    <s v="Guwahati"/>
    <s v="Fashion"/>
    <x v="8"/>
    <n v="5"/>
    <n v="1795.32"/>
    <n v="0.02"/>
    <n v="8797.07"/>
    <n v="5509.05"/>
    <n v="3288.02"/>
    <s v="Cash"/>
    <s v="Karan"/>
    <s v="Returning"/>
    <n v="3"/>
  </r>
  <r>
    <s v="T0076"/>
    <d v="2025-12-31T00:00:00"/>
    <s v="19:10"/>
    <s v="C059"/>
    <s v="Avni Shah"/>
    <s v="Male"/>
    <n v="33"/>
    <x v="3"/>
    <s v="Patna"/>
    <s v="Fashion"/>
    <x v="8"/>
    <n v="5"/>
    <n v="1755.18"/>
    <n v="0"/>
    <n v="8775.9"/>
    <n v="6165.58"/>
    <n v="2610.3200000000002"/>
    <s v="Net Banking"/>
    <s v="Karan"/>
    <s v="Returning"/>
    <n v="4"/>
  </r>
  <r>
    <s v="T0077"/>
    <d v="2025-05-11T00:00:00"/>
    <s v="10:30"/>
    <s v="C035"/>
    <s v="Arjun Shah"/>
    <s v="Female"/>
    <n v="43"/>
    <x v="3"/>
    <s v="Guwahati"/>
    <s v="Electronics"/>
    <x v="13"/>
    <n v="2"/>
    <n v="2341.2399999999998"/>
    <n v="0.1"/>
    <n v="4214.2299999999996"/>
    <n v="2690.01"/>
    <n v="1524.22"/>
    <s v="Debit Card"/>
    <s v="Amit"/>
    <s v="New"/>
    <n v="5"/>
  </r>
  <r>
    <s v="T0078"/>
    <d v="2025-10-30T00:00:00"/>
    <s v="20:40"/>
    <s v="C055"/>
    <s v="Jiya Shah"/>
    <s v="Female"/>
    <n v="23"/>
    <x v="3"/>
    <s v="Patna"/>
    <s v="Grocery"/>
    <x v="9"/>
    <n v="5"/>
    <n v="937.3"/>
    <n v="0.1"/>
    <n v="4217.8500000000004"/>
    <n v="3199.05"/>
    <n v="1018.8"/>
    <s v="UPI"/>
    <s v="Neha"/>
    <s v="Returning"/>
    <n v="4"/>
  </r>
  <r>
    <s v="T0079"/>
    <d v="2025-12-31T00:00:00"/>
    <s v="18:45"/>
    <s v="C026"/>
    <s v="Nisha Patel"/>
    <s v="Female"/>
    <n v="34"/>
    <x v="1"/>
    <s v="Chandigarh"/>
    <s v="Electronics"/>
    <x v="15"/>
    <n v="1"/>
    <n v="4744.46"/>
    <n v="0.1"/>
    <n v="4270.01"/>
    <n v="3051.53"/>
    <n v="1218.48"/>
    <s v="Net Banking"/>
    <s v="Amit"/>
    <s v="New"/>
    <n v="3"/>
  </r>
  <r>
    <s v="T0080"/>
    <d v="2025-08-03T00:00:00"/>
    <s v="10:45"/>
    <s v="C059"/>
    <s v="Avni Shah"/>
    <s v="Male"/>
    <n v="33"/>
    <x v="3"/>
    <s v="Patna"/>
    <s v="Grocery"/>
    <x v="9"/>
    <n v="3"/>
    <n v="873.95"/>
    <n v="0.02"/>
    <n v="2569.41"/>
    <n v="1924.26"/>
    <n v="645.15"/>
    <s v="Debit Card"/>
    <s v="Pooja"/>
    <s v="New"/>
    <n v="3"/>
  </r>
  <r>
    <s v="T0081"/>
    <d v="2025-06-20T00:00:00"/>
    <s v="16:10"/>
    <s v="C037"/>
    <s v="Rahul Shah"/>
    <s v="Female"/>
    <n v="49"/>
    <x v="3"/>
    <s v="Kolkata"/>
    <s v="Beauty"/>
    <x v="19"/>
    <n v="1"/>
    <n v="1811.06"/>
    <n v="0.15"/>
    <n v="1539.4"/>
    <n v="1052.57"/>
    <n v="486.83"/>
    <s v="Credit Card"/>
    <s v="Amit"/>
    <s v="VIP"/>
    <n v="5"/>
  </r>
  <r>
    <s v="T0082"/>
    <d v="2025-11-07T00:00:00"/>
    <s v="11:10"/>
    <s v="C002"/>
    <s v="Vivaan Patel"/>
    <s v="Female"/>
    <n v="56"/>
    <x v="0"/>
    <s v="Surat"/>
    <s v="Grocery"/>
    <x v="9"/>
    <n v="5"/>
    <n v="904.17"/>
    <n v="0.05"/>
    <n v="4294.8100000000004"/>
    <n v="2722.94"/>
    <n v="1571.87"/>
    <s v="Cash"/>
    <s v="Vivek"/>
    <s v="Returning"/>
    <n v="4"/>
  </r>
  <r>
    <s v="T0083"/>
    <d v="2025-08-24T00:00:00"/>
    <s v="17:50"/>
    <s v="C053"/>
    <s v="Aanya Shah"/>
    <s v="Female"/>
    <n v="54"/>
    <x v="2"/>
    <s v="Hyderabad"/>
    <s v="Grocery"/>
    <x v="9"/>
    <n v="1"/>
    <n v="938.63"/>
    <n v="0"/>
    <n v="938.63"/>
    <n v="645.1"/>
    <n v="293.52999999999997"/>
    <s v="Cash"/>
    <s v="Vivek"/>
    <s v="Returning"/>
    <n v="3"/>
  </r>
  <r>
    <s v="T0084"/>
    <d v="2025-05-22T00:00:00"/>
    <s v="16:40"/>
    <s v="C045"/>
    <s v="Manav Shah"/>
    <s v="Male"/>
    <n v="30"/>
    <x v="3"/>
    <s v="Kolkata"/>
    <s v="Grocery"/>
    <x v="10"/>
    <n v="5"/>
    <n v="278.02"/>
    <n v="0"/>
    <n v="1390.1"/>
    <n v="1114.95"/>
    <n v="275.14999999999998"/>
    <s v="UPI"/>
    <s v="Amit"/>
    <s v="Returning"/>
    <n v="3"/>
  </r>
  <r>
    <s v="T0085"/>
    <d v="2025-10-20T00:00:00"/>
    <s v="13:15"/>
    <s v="C059"/>
    <s v="Avni Shah"/>
    <s v="Male"/>
    <n v="33"/>
    <x v="3"/>
    <s v="Patna"/>
    <s v="Fashion"/>
    <x v="0"/>
    <n v="3"/>
    <n v="2980.87"/>
    <n v="0.02"/>
    <n v="8763.76"/>
    <n v="5726.3"/>
    <n v="3037.46"/>
    <s v="Cash"/>
    <s v="Pooja"/>
    <s v="New"/>
    <n v="5"/>
  </r>
  <r>
    <s v="T0086"/>
    <d v="2025-08-31T00:00:00"/>
    <s v="18:15"/>
    <s v="C054"/>
    <s v="Khushi Shah"/>
    <s v="Male"/>
    <n v="19"/>
    <x v="0"/>
    <s v="Mumbai"/>
    <s v="Electronics"/>
    <x v="3"/>
    <n v="1"/>
    <n v="28494.9"/>
    <n v="0.05"/>
    <n v="27070.15"/>
    <n v="21256.6"/>
    <n v="5813.55"/>
    <s v="Net Banking"/>
    <s v="Vivek"/>
    <s v="Returning"/>
    <n v="4"/>
  </r>
  <r>
    <s v="T0087"/>
    <d v="2025-04-09T00:00:00"/>
    <s v="12:10"/>
    <s v="C009"/>
    <s v="Yash Patel"/>
    <s v="Female"/>
    <n v="32"/>
    <x v="2"/>
    <s v="Kochi"/>
    <s v="Fashion"/>
    <x v="0"/>
    <n v="2"/>
    <n v="2806.83"/>
    <n v="0.02"/>
    <n v="5501.39"/>
    <n v="4176.68"/>
    <n v="1324.71"/>
    <s v="Debit Card"/>
    <s v="Karan"/>
    <s v="New"/>
    <n v="4"/>
  </r>
  <r>
    <s v="T0088"/>
    <d v="2025-03-30T00:00:00"/>
    <s v="17:20"/>
    <s v="C047"/>
    <s v="Diya Shah"/>
    <s v="Male"/>
    <n v="50"/>
    <x v="2"/>
    <s v="Bengaluru"/>
    <s v="Fashion"/>
    <x v="8"/>
    <n v="3"/>
    <n v="1908.71"/>
    <n v="0.05"/>
    <n v="5439.82"/>
    <n v="3669.66"/>
    <n v="1770.16"/>
    <s v="Net Banking"/>
    <s v="Amit"/>
    <s v="New"/>
    <n v="5"/>
  </r>
  <r>
    <s v="T0089"/>
    <d v="2025-01-09T00:00:00"/>
    <s v="16:00"/>
    <s v="C042"/>
    <s v="Kabir Shah"/>
    <s v="Female"/>
    <n v="37"/>
    <x v="0"/>
    <s v="Vadodara"/>
    <s v="Fashion"/>
    <x v="0"/>
    <n v="2"/>
    <n v="2758.99"/>
    <n v="0.15"/>
    <n v="4690.28"/>
    <n v="3151.64"/>
    <n v="1538.64"/>
    <s v="Net Banking"/>
    <s v="Neha"/>
    <s v="Returning"/>
    <n v="5"/>
  </r>
  <r>
    <s v="T0090"/>
    <d v="2025-10-11T00:00:00"/>
    <s v="13:30"/>
    <s v="C048"/>
    <s v="Isha Shah"/>
    <s v="Male"/>
    <n v="32"/>
    <x v="2"/>
    <s v="Kochi"/>
    <s v="Grocery"/>
    <x v="4"/>
    <n v="5"/>
    <n v="249.22"/>
    <n v="0.1"/>
    <n v="1121.49"/>
    <n v="898.65"/>
    <n v="222.84"/>
    <s v="Debit Card"/>
    <s v="Neha"/>
    <s v="Returning"/>
    <n v="5"/>
  </r>
  <r>
    <s v="T0091"/>
    <d v="2025-09-19T00:00:00"/>
    <s v="16:15"/>
    <s v="C033"/>
    <s v="Aditya Shah"/>
    <s v="Female"/>
    <n v="22"/>
    <x v="0"/>
    <s v="Surat"/>
    <s v="Grocery"/>
    <x v="4"/>
    <n v="1"/>
    <n v="236.29"/>
    <n v="0"/>
    <n v="236.29"/>
    <n v="162.28"/>
    <n v="74.010000000000005"/>
    <s v="Net Banking"/>
    <s v="Amit"/>
    <s v="VIP"/>
    <n v="3"/>
  </r>
  <r>
    <s v="T0092"/>
    <d v="2025-07-07T00:00:00"/>
    <s v="15:30"/>
    <s v="C027"/>
    <s v="Pooja Patel"/>
    <s v="Female"/>
    <n v="22"/>
    <x v="0"/>
    <s v="Surat"/>
    <s v="Grocery"/>
    <x v="10"/>
    <n v="1"/>
    <n v="277.39999999999998"/>
    <n v="0.02"/>
    <n v="271.85000000000002"/>
    <n v="175.55"/>
    <n v="96.3"/>
    <s v="Debit Card"/>
    <s v="Vivek"/>
    <s v="Returning"/>
    <n v="4"/>
  </r>
  <r>
    <s v="T0093"/>
    <d v="2025-09-15T00:00:00"/>
    <s v="20:45"/>
    <s v="C036"/>
    <s v="Rohan Shah"/>
    <s v="Male"/>
    <n v="49"/>
    <x v="2"/>
    <s v="Hyderabad"/>
    <s v="Electronics"/>
    <x v="11"/>
    <n v="3"/>
    <n v="59234.44"/>
    <n v="0"/>
    <n v="177703.32"/>
    <n v="114293.23"/>
    <n v="63410.09"/>
    <s v="Credit Card"/>
    <s v="Pooja"/>
    <s v="New"/>
    <n v="5"/>
  </r>
  <r>
    <s v="T0094"/>
    <d v="2025-11-22T00:00:00"/>
    <s v="11:40"/>
    <s v="C048"/>
    <s v="Isha Shah"/>
    <s v="Male"/>
    <n v="32"/>
    <x v="2"/>
    <s v="Kochi"/>
    <s v="Electronics"/>
    <x v="11"/>
    <n v="2"/>
    <n v="53608.480000000003"/>
    <n v="0.08"/>
    <n v="98639.6"/>
    <n v="64697.66"/>
    <n v="33941.94"/>
    <s v="Net Banking"/>
    <s v="Vivek"/>
    <s v="Returning"/>
    <n v="4"/>
  </r>
  <r>
    <s v="T0095"/>
    <d v="2025-08-30T00:00:00"/>
    <s v="12:15"/>
    <s v="C036"/>
    <s v="Rohan Shah"/>
    <s v="Male"/>
    <n v="49"/>
    <x v="2"/>
    <s v="Hyderabad"/>
    <s v="Electronics"/>
    <x v="15"/>
    <n v="1"/>
    <n v="5065.74"/>
    <n v="0"/>
    <n v="5065.74"/>
    <n v="3199.44"/>
    <n v="1866.3"/>
    <s v="Debit Card"/>
    <s v="Neha"/>
    <s v="VIP"/>
    <n v="5"/>
  </r>
  <r>
    <s v="T0096"/>
    <d v="2025-07-23T00:00:00"/>
    <s v="12:15"/>
    <s v="C029"/>
    <s v="Avni Patel"/>
    <s v="Male"/>
    <n v="51"/>
    <x v="0"/>
    <s v="Vadodara"/>
    <s v="Electronics"/>
    <x v="11"/>
    <n v="4"/>
    <n v="50816.36"/>
    <n v="0.05"/>
    <n v="193102.17"/>
    <n v="151450.53"/>
    <n v="41651.64"/>
    <s v="Debit Card"/>
    <s v="Karan"/>
    <s v="Returning"/>
    <n v="4"/>
  </r>
  <r>
    <s v="T0097"/>
    <d v="2025-08-14T00:00:00"/>
    <s v="12:00"/>
    <s v="C046"/>
    <s v="Anaya Shah"/>
    <s v="Male"/>
    <n v="25"/>
    <x v="2"/>
    <s v="Chennai"/>
    <s v="Electronics"/>
    <x v="11"/>
    <n v="5"/>
    <n v="56704.4"/>
    <n v="0.08"/>
    <n v="260840.24"/>
    <n v="205539.35"/>
    <n v="55300.89"/>
    <s v="Cash"/>
    <s v="Riya"/>
    <s v="New"/>
    <n v="5"/>
  </r>
  <r>
    <s v="T0098"/>
    <d v="2025-04-02T00:00:00"/>
    <s v="13:45"/>
    <s v="C044"/>
    <s v="Harsh Shah"/>
    <s v="Male"/>
    <n v="18"/>
    <x v="2"/>
    <s v="Bengaluru"/>
    <s v="Home"/>
    <x v="14"/>
    <n v="4"/>
    <n v="8852.5400000000009"/>
    <n v="0"/>
    <n v="35410.160000000003"/>
    <n v="25086.67"/>
    <n v="10323.49"/>
    <s v="Debit Card"/>
    <s v="Amit"/>
    <s v="Returning"/>
    <n v="5"/>
  </r>
  <r>
    <s v="T0099"/>
    <d v="2025-06-12T00:00:00"/>
    <s v="09:00"/>
    <s v="C034"/>
    <s v="Krish Shah"/>
    <s v="Male"/>
    <n v="56"/>
    <x v="2"/>
    <s v="Chennai"/>
    <s v="Beauty"/>
    <x v="17"/>
    <n v="4"/>
    <n v="547.64"/>
    <n v="0.08"/>
    <n v="2015.32"/>
    <n v="1324.28"/>
    <n v="691.04"/>
    <s v="UPI"/>
    <s v="Vivek"/>
    <s v="Returning"/>
    <n v="5"/>
  </r>
  <r>
    <s v="T0100"/>
    <d v="2025-02-19T00:00:00"/>
    <s v="12:45"/>
    <s v="C046"/>
    <s v="Anaya Shah"/>
    <s v="Male"/>
    <n v="25"/>
    <x v="2"/>
    <s v="Chennai"/>
    <s v="Fashion"/>
    <x v="7"/>
    <n v="4"/>
    <n v="1387.81"/>
    <n v="0.08"/>
    <n v="5107.1400000000003"/>
    <n v="4154.67"/>
    <n v="952.47"/>
    <s v="Cash"/>
    <s v="Riya"/>
    <s v="Returning"/>
    <n v="3"/>
  </r>
  <r>
    <s v="T0101"/>
    <d v="2025-09-30T00:00:00"/>
    <s v="20:20"/>
    <s v="C007"/>
    <s v="Rahul Patel"/>
    <s v="Male"/>
    <n v="42"/>
    <x v="2"/>
    <s v="Chennai"/>
    <s v="Home"/>
    <x v="5"/>
    <n v="1"/>
    <n v="6147.26"/>
    <n v="0.15"/>
    <n v="5225.17"/>
    <n v="3847.79"/>
    <n v="1377.38"/>
    <s v="Net Banking"/>
    <s v="Neha"/>
    <s v="Returning"/>
    <n v="4"/>
  </r>
  <r>
    <s v="T0102"/>
    <d v="2025-07-28T00:00:00"/>
    <s v="16:30"/>
    <s v="C013"/>
    <s v="Aryan Patel"/>
    <s v="Female"/>
    <n v="19"/>
    <x v="2"/>
    <s v="Chennai"/>
    <s v="Electronics"/>
    <x v="15"/>
    <n v="2"/>
    <n v="4983.95"/>
    <n v="0.15"/>
    <n v="8472.7199999999993"/>
    <n v="5747.32"/>
    <n v="2725.4"/>
    <s v="Net Banking"/>
    <s v="Amit"/>
    <s v="VIP"/>
    <n v="5"/>
  </r>
  <r>
    <s v="T0103"/>
    <d v="2025-09-24T00:00:00"/>
    <s v="14:15"/>
    <s v="C008"/>
    <s v="Dhruv Patel"/>
    <s v="Female"/>
    <n v="59"/>
    <x v="3"/>
    <s v="Guwahati"/>
    <s v="Electronics"/>
    <x v="11"/>
    <n v="4"/>
    <n v="59282.63"/>
    <n v="0.15"/>
    <n v="201560.94"/>
    <n v="149886.99"/>
    <n v="51673.95"/>
    <s v="Cash"/>
    <s v="Amit"/>
    <s v="Returning"/>
    <n v="3"/>
  </r>
  <r>
    <s v="T0104"/>
    <d v="2025-12-19T00:00:00"/>
    <s v="10:00"/>
    <s v="C060"/>
    <s v="Shreya Shah"/>
    <s v="Female"/>
    <n v="23"/>
    <x v="1"/>
    <s v="Chandigarh"/>
    <s v="Electronics"/>
    <x v="11"/>
    <n v="1"/>
    <n v="57855.72"/>
    <n v="0.02"/>
    <n v="56698.61"/>
    <n v="39654.14"/>
    <n v="17044.47"/>
    <s v="Credit Card"/>
    <s v="Riya"/>
    <s v="Returning"/>
    <n v="5"/>
  </r>
  <r>
    <s v="T0105"/>
    <d v="2025-05-23T00:00:00"/>
    <s v="10:10"/>
    <s v="C050"/>
    <s v="Priya Shah"/>
    <s v="Female"/>
    <n v="29"/>
    <x v="2"/>
    <s v="Chennai"/>
    <s v="Electronics"/>
    <x v="11"/>
    <n v="3"/>
    <n v="51693.14"/>
    <n v="0.05"/>
    <n v="147325.45000000001"/>
    <n v="92272.47"/>
    <n v="55052.98"/>
    <s v="UPI"/>
    <s v="Amit"/>
    <s v="Returning"/>
    <n v="5"/>
  </r>
  <r>
    <s v="T0106"/>
    <d v="2025-12-14T00:00:00"/>
    <s v="12:40"/>
    <s v="C050"/>
    <s v="Priya Shah"/>
    <s v="Female"/>
    <n v="29"/>
    <x v="2"/>
    <s v="Chennai"/>
    <s v="Fashion"/>
    <x v="0"/>
    <n v="3"/>
    <n v="2976.88"/>
    <n v="0.08"/>
    <n v="8216.19"/>
    <n v="6075.83"/>
    <n v="2140.36"/>
    <s v="Credit Card"/>
    <s v="Karan"/>
    <s v="New"/>
    <n v="4"/>
  </r>
  <r>
    <s v="T0107"/>
    <d v="2025-01-12T00:00:00"/>
    <s v="15:20"/>
    <s v="C014"/>
    <s v="Harsh Patel"/>
    <s v="Female"/>
    <n v="24"/>
    <x v="2"/>
    <s v="Kochi"/>
    <s v="Electronics"/>
    <x v="11"/>
    <n v="3"/>
    <n v="52529.08"/>
    <n v="0.15"/>
    <n v="133949.15"/>
    <n v="92073.85"/>
    <n v="41875.300000000003"/>
    <s v="Net Banking"/>
    <s v="Vivek"/>
    <s v="Returning"/>
    <n v="4"/>
  </r>
  <r>
    <s v="T0108"/>
    <d v="2025-07-30T00:00:00"/>
    <s v="14:30"/>
    <s v="C018"/>
    <s v="Isha Patel"/>
    <s v="Female"/>
    <n v="35"/>
    <x v="1"/>
    <s v="Chandigarh"/>
    <s v="Grocery"/>
    <x v="2"/>
    <n v="3"/>
    <n v="460.82"/>
    <n v="0.02"/>
    <n v="1354.81"/>
    <n v="949.25"/>
    <n v="405.56"/>
    <s v="Net Banking"/>
    <s v="Vivek"/>
    <s v="Returning"/>
    <n v="4"/>
  </r>
  <r>
    <s v="T0109"/>
    <d v="2025-11-28T00:00:00"/>
    <s v="09:40"/>
    <s v="C007"/>
    <s v="Rahul Patel"/>
    <s v="Male"/>
    <n v="42"/>
    <x v="2"/>
    <s v="Chennai"/>
    <s v="Grocery"/>
    <x v="10"/>
    <n v="5"/>
    <n v="316.62"/>
    <n v="0.1"/>
    <n v="1424.79"/>
    <n v="981.95"/>
    <n v="442.84"/>
    <s v="Cash"/>
    <s v="Riya"/>
    <s v="VIP"/>
    <n v="3"/>
  </r>
  <r>
    <s v="T0110"/>
    <d v="2025-04-06T00:00:00"/>
    <s v="17:20"/>
    <s v="C049"/>
    <s v="Riya Shah"/>
    <s v="Male"/>
    <n v="41"/>
    <x v="2"/>
    <s v="Kochi"/>
    <s v="Electronics"/>
    <x v="3"/>
    <n v="4"/>
    <n v="31792.43"/>
    <n v="0.02"/>
    <n v="124626.33"/>
    <n v="97032.97"/>
    <n v="27593.360000000001"/>
    <s v="Credit Card"/>
    <s v="Karan"/>
    <s v="Returning"/>
    <n v="5"/>
  </r>
  <r>
    <s v="T0111"/>
    <d v="2025-05-11T00:00:00"/>
    <s v="10:50"/>
    <s v="C012"/>
    <s v="Kabir Patel"/>
    <s v="Female"/>
    <n v="31"/>
    <x v="1"/>
    <s v="Delhi"/>
    <s v="Grocery"/>
    <x v="2"/>
    <n v="3"/>
    <n v="469.87"/>
    <n v="0.08"/>
    <n v="1296.8399999999999"/>
    <n v="1039.81"/>
    <n v="257.02999999999997"/>
    <s v="Credit Card"/>
    <s v="Pooja"/>
    <s v="Returning"/>
    <n v="4"/>
  </r>
  <r>
    <s v="T0112"/>
    <d v="2025-11-21T00:00:00"/>
    <s v="14:30"/>
    <s v="C037"/>
    <s v="Rahul Shah"/>
    <s v="Female"/>
    <n v="49"/>
    <x v="3"/>
    <s v="Kolkata"/>
    <s v="Home"/>
    <x v="5"/>
    <n v="4"/>
    <n v="6401.22"/>
    <n v="0.15"/>
    <n v="21764.15"/>
    <n v="15734.69"/>
    <n v="6029.46"/>
    <s v="UPI"/>
    <s v="Pooja"/>
    <s v="Returning"/>
    <n v="4"/>
  </r>
  <r>
    <s v="T0113"/>
    <d v="2025-12-11T00:00:00"/>
    <s v="17:20"/>
    <s v="C059"/>
    <s v="Avni Shah"/>
    <s v="Male"/>
    <n v="33"/>
    <x v="3"/>
    <s v="Patna"/>
    <s v="Electronics"/>
    <x v="11"/>
    <n v="5"/>
    <n v="53461.67"/>
    <n v="0.08"/>
    <n v="245923.68"/>
    <n v="158909.67000000001"/>
    <n v="87014.01"/>
    <s v="Net Banking"/>
    <s v="Karan"/>
    <s v="VIP"/>
    <n v="4"/>
  </r>
  <r>
    <s v="T0114"/>
    <d v="2025-04-03T00:00:00"/>
    <s v="18:20"/>
    <s v="C016"/>
    <s v="Anaya Patel"/>
    <s v="Female"/>
    <n v="57"/>
    <x v="2"/>
    <s v="Chennai"/>
    <s v="Grocery"/>
    <x v="2"/>
    <n v="5"/>
    <n v="431.91"/>
    <n v="0.05"/>
    <n v="2051.5700000000002"/>
    <n v="1661.19"/>
    <n v="390.38"/>
    <s v="UPI"/>
    <s v="Riya"/>
    <s v="New"/>
    <n v="3"/>
  </r>
  <r>
    <s v="T0115"/>
    <d v="2025-06-24T00:00:00"/>
    <s v="13:20"/>
    <s v="C037"/>
    <s v="Rahul Shah"/>
    <s v="Female"/>
    <n v="49"/>
    <x v="3"/>
    <s v="Kolkata"/>
    <s v="Home"/>
    <x v="1"/>
    <n v="4"/>
    <n v="3469.97"/>
    <n v="0.15"/>
    <n v="11797.9"/>
    <n v="7800.4"/>
    <n v="3997.5"/>
    <s v="Net Banking"/>
    <s v="Pooja"/>
    <s v="New"/>
    <n v="3"/>
  </r>
  <r>
    <s v="T0116"/>
    <d v="2025-01-20T00:00:00"/>
    <s v="18:30"/>
    <s v="C037"/>
    <s v="Rahul Shah"/>
    <s v="Female"/>
    <n v="49"/>
    <x v="3"/>
    <s v="Kolkata"/>
    <s v="Fashion"/>
    <x v="0"/>
    <n v="5"/>
    <n v="2994.38"/>
    <n v="0.1"/>
    <n v="13474.71"/>
    <n v="8632.73"/>
    <n v="4841.9799999999996"/>
    <s v="Debit Card"/>
    <s v="Riya"/>
    <s v="Returning"/>
    <n v="4"/>
  </r>
  <r>
    <s v="T0117"/>
    <d v="2025-08-04T00:00:00"/>
    <s v="19:15"/>
    <s v="C050"/>
    <s v="Priya Shah"/>
    <s v="Female"/>
    <n v="29"/>
    <x v="2"/>
    <s v="Chennai"/>
    <s v="Electronics"/>
    <x v="11"/>
    <n v="2"/>
    <n v="59163.26"/>
    <n v="0.05"/>
    <n v="112410.19"/>
    <n v="80684.59"/>
    <n v="31725.599999999999"/>
    <s v="Cash"/>
    <s v="Riya"/>
    <s v="New"/>
    <n v="3"/>
  </r>
  <r>
    <s v="T0118"/>
    <d v="2025-11-04T00:00:00"/>
    <s v="10:10"/>
    <s v="C045"/>
    <s v="Manav Shah"/>
    <s v="Male"/>
    <n v="30"/>
    <x v="3"/>
    <s v="Kolkata"/>
    <s v="Beauty"/>
    <x v="19"/>
    <n v="2"/>
    <n v="1710.24"/>
    <n v="0.1"/>
    <n v="3078.43"/>
    <n v="2181.84"/>
    <n v="896.59"/>
    <s v="Net Banking"/>
    <s v="Riya"/>
    <s v="New"/>
    <n v="5"/>
  </r>
  <r>
    <s v="T0119"/>
    <d v="2025-08-06T00:00:00"/>
    <s v="19:10"/>
    <s v="C055"/>
    <s v="Jiya Shah"/>
    <s v="Female"/>
    <n v="23"/>
    <x v="3"/>
    <s v="Patna"/>
    <s v="Electronics"/>
    <x v="3"/>
    <n v="1"/>
    <n v="31588.21"/>
    <n v="0"/>
    <n v="31588.21"/>
    <n v="19776.66"/>
    <n v="11811.55"/>
    <s v="UPI"/>
    <s v="Riya"/>
    <s v="VIP"/>
    <n v="5"/>
  </r>
  <r>
    <s v="T0120"/>
    <d v="2025-05-22T00:00:00"/>
    <s v="13:50"/>
    <s v="C031"/>
    <s v="Aarav Shah"/>
    <s v="Male"/>
    <n v="39"/>
    <x v="0"/>
    <s v="Vadodara"/>
    <s v="Fashion"/>
    <x v="8"/>
    <n v="4"/>
    <n v="1701.87"/>
    <n v="0.15"/>
    <n v="5786.36"/>
    <n v="3955.68"/>
    <n v="1830.68"/>
    <s v="UPI"/>
    <s v="Amit"/>
    <s v="VIP"/>
    <n v="5"/>
  </r>
  <r>
    <s v="T0121"/>
    <d v="2025-03-18T00:00:00"/>
    <s v="17:15"/>
    <s v="C053"/>
    <s v="Aanya Shah"/>
    <s v="Female"/>
    <n v="54"/>
    <x v="2"/>
    <s v="Hyderabad"/>
    <s v="Grocery"/>
    <x v="2"/>
    <n v="4"/>
    <n v="462.07"/>
    <n v="0.15"/>
    <n v="1571.04"/>
    <n v="1257.26"/>
    <n v="313.77999999999997"/>
    <s v="Net Banking"/>
    <s v="Amit"/>
    <s v="Returning"/>
    <n v="5"/>
  </r>
  <r>
    <s v="T0122"/>
    <d v="2025-12-10T00:00:00"/>
    <s v="14:45"/>
    <s v="C001"/>
    <s v="Aarav Patel"/>
    <s v="Male"/>
    <n v="32"/>
    <x v="2"/>
    <s v="Bengaluru"/>
    <s v="Electronics"/>
    <x v="13"/>
    <n v="1"/>
    <n v="2446.58"/>
    <n v="0.1"/>
    <n v="2201.92"/>
    <n v="1532.72"/>
    <n v="669.2"/>
    <s v="Net Banking"/>
    <s v="Amit"/>
    <s v="Returning"/>
    <n v="4"/>
  </r>
  <r>
    <s v="T0123"/>
    <d v="2025-04-12T00:00:00"/>
    <s v="18:15"/>
    <s v="C035"/>
    <s v="Arjun Shah"/>
    <s v="Female"/>
    <n v="43"/>
    <x v="3"/>
    <s v="Guwahati"/>
    <s v="Fashion"/>
    <x v="8"/>
    <n v="2"/>
    <n v="1874.69"/>
    <n v="0"/>
    <n v="3749.38"/>
    <n v="2609.41"/>
    <n v="1139.97"/>
    <s v="Credit Card"/>
    <s v="Neha"/>
    <s v="Returning"/>
    <n v="3"/>
  </r>
  <r>
    <s v="T0124"/>
    <d v="2025-06-02T00:00:00"/>
    <s v="20:30"/>
    <s v="C026"/>
    <s v="Nisha Patel"/>
    <s v="Female"/>
    <n v="34"/>
    <x v="1"/>
    <s v="Chandigarh"/>
    <s v="Home"/>
    <x v="1"/>
    <n v="4"/>
    <n v="3486.95"/>
    <n v="0.05"/>
    <n v="13250.41"/>
    <n v="10242.26"/>
    <n v="3008.15"/>
    <s v="Credit Card"/>
    <s v="Pooja"/>
    <s v="VIP"/>
    <n v="3"/>
  </r>
  <r>
    <s v="T0125"/>
    <d v="2025-04-17T00:00:00"/>
    <s v="15:50"/>
    <s v="C023"/>
    <s v="Aanya Patel"/>
    <s v="Male"/>
    <n v="58"/>
    <x v="0"/>
    <s v="Vadodara"/>
    <s v="Fashion"/>
    <x v="7"/>
    <n v="1"/>
    <n v="1537.13"/>
    <n v="0.05"/>
    <n v="1460.27"/>
    <n v="922.97"/>
    <n v="537.29999999999995"/>
    <s v="Net Banking"/>
    <s v="Vivek"/>
    <s v="Returning"/>
    <n v="3"/>
  </r>
  <r>
    <s v="T0126"/>
    <d v="2025-02-21T00:00:00"/>
    <s v="19:30"/>
    <s v="C004"/>
    <s v="Krish Patel"/>
    <s v="Male"/>
    <n v="41"/>
    <x v="2"/>
    <s v="Kochi"/>
    <s v="Beauty"/>
    <x v="12"/>
    <n v="2"/>
    <n v="1221.18"/>
    <n v="0.02"/>
    <n v="2393.5100000000002"/>
    <n v="1675.41"/>
    <n v="718.1"/>
    <s v="Net Banking"/>
    <s v="Pooja"/>
    <s v="Returning"/>
    <n v="4"/>
  </r>
  <r>
    <s v="T0127"/>
    <d v="2025-12-17T00:00:00"/>
    <s v="20:10"/>
    <s v="C007"/>
    <s v="Rahul Patel"/>
    <s v="Male"/>
    <n v="42"/>
    <x v="2"/>
    <s v="Chennai"/>
    <s v="Beauty"/>
    <x v="12"/>
    <n v="1"/>
    <n v="1212.92"/>
    <n v="0.02"/>
    <n v="1188.6600000000001"/>
    <n v="955.15"/>
    <n v="233.51"/>
    <s v="Cash"/>
    <s v="Pooja"/>
    <s v="New"/>
    <n v="5"/>
  </r>
  <r>
    <s v="T0128"/>
    <d v="2025-06-22T00:00:00"/>
    <s v="18:45"/>
    <s v="C044"/>
    <s v="Harsh Shah"/>
    <s v="Male"/>
    <n v="18"/>
    <x v="2"/>
    <s v="Bengaluru"/>
    <s v="Grocery"/>
    <x v="9"/>
    <n v="5"/>
    <n v="955.33"/>
    <n v="0"/>
    <n v="4776.6499999999996"/>
    <n v="3719.81"/>
    <n v="1056.8399999999999"/>
    <s v="Credit Card"/>
    <s v="Neha"/>
    <s v="Returning"/>
    <n v="5"/>
  </r>
  <r>
    <s v="T0129"/>
    <d v="2025-07-27T00:00:00"/>
    <s v="09:10"/>
    <s v="C024"/>
    <s v="Khushi Patel"/>
    <s v="Male"/>
    <n v="42"/>
    <x v="0"/>
    <s v="Surat"/>
    <s v="Electronics"/>
    <x v="15"/>
    <n v="2"/>
    <n v="5185.57"/>
    <n v="0.08"/>
    <n v="9541.4500000000007"/>
    <n v="6724.31"/>
    <n v="2817.14"/>
    <s v="Credit Card"/>
    <s v="Amit"/>
    <s v="New"/>
    <n v="5"/>
  </r>
  <r>
    <s v="T0130"/>
    <d v="2025-08-30T00:00:00"/>
    <s v="13:45"/>
    <s v="C033"/>
    <s v="Aditya Shah"/>
    <s v="Female"/>
    <n v="22"/>
    <x v="0"/>
    <s v="Surat"/>
    <s v="Electronics"/>
    <x v="15"/>
    <n v="2"/>
    <n v="4978.3100000000004"/>
    <n v="0.1"/>
    <n v="8960.9599999999991"/>
    <n v="5727.33"/>
    <n v="3233.63"/>
    <s v="Net Banking"/>
    <s v="Karan"/>
    <s v="Returning"/>
    <n v="4"/>
  </r>
  <r>
    <s v="T0131"/>
    <d v="2025-03-19T00:00:00"/>
    <s v="17:40"/>
    <s v="C010"/>
    <s v="Dev Patel"/>
    <s v="Male"/>
    <n v="20"/>
    <x v="1"/>
    <s v="Jaipur"/>
    <s v="Electronics"/>
    <x v="15"/>
    <n v="3"/>
    <n v="5077.6400000000003"/>
    <n v="0.02"/>
    <n v="14928.26"/>
    <n v="10462.68"/>
    <n v="4465.58"/>
    <s v="Net Banking"/>
    <s v="Amit"/>
    <s v="Returning"/>
    <n v="5"/>
  </r>
  <r>
    <s v="T0132"/>
    <d v="2025-10-29T00:00:00"/>
    <s v="11:20"/>
    <s v="C060"/>
    <s v="Shreya Shah"/>
    <s v="Female"/>
    <n v="23"/>
    <x v="1"/>
    <s v="Chandigarh"/>
    <s v="Beauty"/>
    <x v="17"/>
    <n v="5"/>
    <n v="512.99"/>
    <n v="0.1"/>
    <n v="2308.4499999999998"/>
    <n v="1844.08"/>
    <n v="464.37"/>
    <s v="Debit Card"/>
    <s v="Amit"/>
    <s v="Returning"/>
    <n v="4"/>
  </r>
  <r>
    <s v="T0133"/>
    <d v="2025-07-15T00:00:00"/>
    <s v="09:20"/>
    <s v="C041"/>
    <s v="Ishaan Shah"/>
    <s v="Female"/>
    <n v="23"/>
    <x v="0"/>
    <s v="Surat"/>
    <s v="Electronics"/>
    <x v="11"/>
    <n v="4"/>
    <n v="52656.67"/>
    <n v="0.1"/>
    <n v="189564.01"/>
    <n v="127809.65"/>
    <n v="61754.36"/>
    <s v="Credit Card"/>
    <s v="Karan"/>
    <s v="Returning"/>
    <n v="4"/>
  </r>
  <r>
    <s v="T0134"/>
    <d v="2025-12-08T00:00:00"/>
    <s v="14:10"/>
    <s v="C003"/>
    <s v="Aditya Patel"/>
    <s v="Female"/>
    <n v="28"/>
    <x v="1"/>
    <s v="Chandigarh"/>
    <s v="Grocery"/>
    <x v="10"/>
    <n v="1"/>
    <n v="323.77999999999997"/>
    <n v="0.15"/>
    <n v="275.20999999999998"/>
    <n v="188.99"/>
    <n v="86.22"/>
    <s v="Cash"/>
    <s v="Neha"/>
    <s v="VIP"/>
    <n v="4"/>
  </r>
  <r>
    <s v="T0135"/>
    <d v="2025-10-30T00:00:00"/>
    <s v="17:45"/>
    <s v="C031"/>
    <s v="Aarav Shah"/>
    <s v="Male"/>
    <n v="39"/>
    <x v="0"/>
    <s v="Vadodara"/>
    <s v="Fashion"/>
    <x v="8"/>
    <n v="1"/>
    <n v="1892.68"/>
    <n v="0.08"/>
    <n v="1741.27"/>
    <n v="1200.6300000000001"/>
    <n v="540.64"/>
    <s v="Cash"/>
    <s v="Pooja"/>
    <s v="Returning"/>
    <n v="4"/>
  </r>
  <r>
    <s v="T0136"/>
    <d v="2025-12-14T00:00:00"/>
    <s v="11:50"/>
    <s v="C023"/>
    <s v="Aanya Patel"/>
    <s v="Male"/>
    <n v="58"/>
    <x v="0"/>
    <s v="Vadodara"/>
    <s v="Electronics"/>
    <x v="15"/>
    <n v="4"/>
    <n v="4794.93"/>
    <n v="0.15"/>
    <n v="16302.76"/>
    <n v="11806.32"/>
    <n v="4496.4399999999996"/>
    <s v="Credit Card"/>
    <s v="Amit"/>
    <s v="Returning"/>
    <n v="4"/>
  </r>
  <r>
    <s v="T0137"/>
    <d v="2025-08-14T00:00:00"/>
    <s v="12:00"/>
    <s v="C052"/>
    <s v="Mahi Shah"/>
    <s v="Female"/>
    <n v="19"/>
    <x v="0"/>
    <s v="Mumbai"/>
    <s v="Electronics"/>
    <x v="11"/>
    <n v="2"/>
    <n v="53952"/>
    <n v="0.02"/>
    <n v="105745.92"/>
    <n v="85378.36"/>
    <n v="20367.560000000001"/>
    <s v="UPI"/>
    <s v="Amit"/>
    <s v="Returning"/>
    <n v="4"/>
  </r>
  <r>
    <s v="T0138"/>
    <d v="2025-06-03T00:00:00"/>
    <s v="12:10"/>
    <s v="C023"/>
    <s v="Aanya Patel"/>
    <s v="Male"/>
    <n v="58"/>
    <x v="0"/>
    <s v="Vadodara"/>
    <s v="Fashion"/>
    <x v="0"/>
    <n v="3"/>
    <n v="2833.42"/>
    <n v="0.08"/>
    <n v="7820.24"/>
    <n v="6180.22"/>
    <n v="1640.02"/>
    <s v="Credit Card"/>
    <s v="Pooja"/>
    <s v="VIP"/>
    <n v="3"/>
  </r>
  <r>
    <s v="T0139"/>
    <d v="2025-10-18T00:00:00"/>
    <s v="16:10"/>
    <s v="C018"/>
    <s v="Isha Patel"/>
    <s v="Female"/>
    <n v="35"/>
    <x v="1"/>
    <s v="Chandigarh"/>
    <s v="Grocery"/>
    <x v="10"/>
    <n v="3"/>
    <n v="313.92"/>
    <n v="0.08"/>
    <n v="866.42"/>
    <n v="679.05"/>
    <n v="187.37"/>
    <s v="Net Banking"/>
    <s v="Karan"/>
    <s v="New"/>
    <n v="5"/>
  </r>
  <r>
    <s v="T0140"/>
    <d v="2025-07-25T00:00:00"/>
    <s v="12:10"/>
    <s v="C018"/>
    <s v="Isha Patel"/>
    <s v="Female"/>
    <n v="35"/>
    <x v="1"/>
    <s v="Chandigarh"/>
    <s v="Fashion"/>
    <x v="6"/>
    <n v="2"/>
    <n v="847.08"/>
    <n v="0.15"/>
    <n v="1440.04"/>
    <n v="983.18"/>
    <n v="456.86"/>
    <s v="UPI"/>
    <s v="Riya"/>
    <s v="VIP"/>
    <n v="5"/>
  </r>
  <r>
    <s v="T0141"/>
    <d v="2025-01-25T00:00:00"/>
    <s v="13:10"/>
    <s v="C052"/>
    <s v="Mahi Shah"/>
    <s v="Female"/>
    <n v="19"/>
    <x v="0"/>
    <s v="Mumbai"/>
    <s v="Electronics"/>
    <x v="3"/>
    <n v="4"/>
    <n v="28248.799999999999"/>
    <n v="0.08"/>
    <n v="103955.58"/>
    <n v="66115.03"/>
    <n v="37840.550000000003"/>
    <s v="Cash"/>
    <s v="Pooja"/>
    <s v="Returning"/>
    <n v="4"/>
  </r>
  <r>
    <s v="T0142"/>
    <d v="2025-11-12T00:00:00"/>
    <s v="14:50"/>
    <s v="C018"/>
    <s v="Isha Patel"/>
    <s v="Female"/>
    <n v="35"/>
    <x v="1"/>
    <s v="Chandigarh"/>
    <s v="Electronics"/>
    <x v="3"/>
    <n v="2"/>
    <n v="30720.97"/>
    <n v="0.05"/>
    <n v="58369.84"/>
    <n v="40700.83"/>
    <n v="17669.009999999998"/>
    <s v="Net Banking"/>
    <s v="Karan"/>
    <s v="New"/>
    <n v="4"/>
  </r>
  <r>
    <s v="T0143"/>
    <d v="2025-06-27T00:00:00"/>
    <s v="16:45"/>
    <s v="C011"/>
    <s v="Ishaan Patel"/>
    <s v="Male"/>
    <n v="26"/>
    <x v="3"/>
    <s v="Kolkata"/>
    <s v="Grocery"/>
    <x v="9"/>
    <n v="1"/>
    <n v="848.48"/>
    <n v="0"/>
    <n v="848.48"/>
    <n v="658.88"/>
    <n v="189.6"/>
    <s v="Debit Card"/>
    <s v="Pooja"/>
    <s v="Returning"/>
    <n v="5"/>
  </r>
  <r>
    <s v="T0144"/>
    <d v="2025-09-30T00:00:00"/>
    <s v="13:45"/>
    <s v="C040"/>
    <s v="Dev Shah"/>
    <s v="Female"/>
    <n v="39"/>
    <x v="1"/>
    <s v="Chandigarh"/>
    <s v="Electronics"/>
    <x v="11"/>
    <n v="4"/>
    <n v="56370.37"/>
    <n v="0.15"/>
    <n v="191659.26"/>
    <n v="135161.31"/>
    <n v="56497.95"/>
    <s v="Net Banking"/>
    <s v="Pooja"/>
    <s v="Returning"/>
    <n v="5"/>
  </r>
  <r>
    <s v="T0145"/>
    <d v="2025-01-07T00:00:00"/>
    <s v="19:20"/>
    <s v="C035"/>
    <s v="Arjun Shah"/>
    <s v="Female"/>
    <n v="43"/>
    <x v="3"/>
    <s v="Guwahati"/>
    <s v="Fashion"/>
    <x v="0"/>
    <n v="5"/>
    <n v="2749.41"/>
    <n v="0.1"/>
    <n v="12372.34"/>
    <n v="7698.15"/>
    <n v="4674.1899999999996"/>
    <s v="Credit Card"/>
    <s v="Riya"/>
    <s v="Returning"/>
    <n v="3"/>
  </r>
  <r>
    <s v="T0146"/>
    <d v="2025-05-29T00:00:00"/>
    <s v="18:45"/>
    <s v="C015"/>
    <s v="Manav Patel"/>
    <s v="Female"/>
    <n v="52"/>
    <x v="3"/>
    <s v="Guwahati"/>
    <s v="Electronics"/>
    <x v="13"/>
    <n v="5"/>
    <n v="2386.08"/>
    <n v="0.1"/>
    <n v="10737.36"/>
    <n v="8448.81"/>
    <n v="2288.5500000000002"/>
    <s v="Net Banking"/>
    <s v="Vivek"/>
    <s v="New"/>
    <n v="3"/>
  </r>
  <r>
    <s v="T0147"/>
    <d v="2025-06-13T00:00:00"/>
    <s v="09:15"/>
    <s v="C032"/>
    <s v="Vivaan Shah"/>
    <s v="Male"/>
    <n v="54"/>
    <x v="3"/>
    <s v="Guwahati"/>
    <s v="Electronics"/>
    <x v="13"/>
    <n v="5"/>
    <n v="2637.74"/>
    <n v="0.1"/>
    <n v="11869.83"/>
    <n v="8518.36"/>
    <n v="3351.47"/>
    <s v="Cash"/>
    <s v="Neha"/>
    <s v="Returning"/>
    <n v="5"/>
  </r>
  <r>
    <s v="T0148"/>
    <d v="2025-08-15T00:00:00"/>
    <s v="17:30"/>
    <s v="C040"/>
    <s v="Dev Shah"/>
    <s v="Female"/>
    <n v="39"/>
    <x v="1"/>
    <s v="Chandigarh"/>
    <s v="Home"/>
    <x v="5"/>
    <n v="2"/>
    <n v="6796.42"/>
    <n v="0.1"/>
    <n v="12233.56"/>
    <n v="7910.57"/>
    <n v="4322.99"/>
    <s v="UPI"/>
    <s v="Amit"/>
    <s v="VIP"/>
    <n v="5"/>
  </r>
  <r>
    <s v="T0149"/>
    <d v="2025-01-29T00:00:00"/>
    <s v="09:10"/>
    <s v="C048"/>
    <s v="Isha Shah"/>
    <s v="Male"/>
    <n v="32"/>
    <x v="2"/>
    <s v="Kochi"/>
    <s v="Grocery"/>
    <x v="4"/>
    <n v="4"/>
    <n v="261.25"/>
    <n v="0.08"/>
    <n v="961.4"/>
    <n v="718.59"/>
    <n v="242.81"/>
    <s v="Credit Card"/>
    <s v="Karan"/>
    <s v="Returning"/>
    <n v="4"/>
  </r>
  <r>
    <s v="T0150"/>
    <d v="2025-12-09T00:00:00"/>
    <s v="16:30"/>
    <s v="C017"/>
    <s v="Diya Patel"/>
    <s v="Female"/>
    <n v="59"/>
    <x v="2"/>
    <s v="Chennai"/>
    <s v="Electronics"/>
    <x v="15"/>
    <n v="4"/>
    <n v="5009.78"/>
    <n v="0.1"/>
    <n v="18035.21"/>
    <n v="11354.36"/>
    <n v="6680.85"/>
    <s v="UPI"/>
    <s v="Karan"/>
    <s v="Returning"/>
    <n v="5"/>
  </r>
  <r>
    <s v="T0151"/>
    <d v="2025-06-01T00:00:00"/>
    <s v="09:30"/>
    <s v="C035"/>
    <s v="Arjun Shah"/>
    <s v="Female"/>
    <n v="43"/>
    <x v="3"/>
    <s v="Guwahati"/>
    <s v="Fashion"/>
    <x v="7"/>
    <n v="2"/>
    <n v="1490.87"/>
    <n v="0.08"/>
    <n v="2743.2"/>
    <n v="1892.65"/>
    <n v="850.55"/>
    <s v="Debit Card"/>
    <s v="Karan"/>
    <s v="New"/>
    <n v="4"/>
  </r>
  <r>
    <s v="T0152"/>
    <d v="2025-09-18T00:00:00"/>
    <s v="14:50"/>
    <s v="C005"/>
    <s v="Arjun Patel"/>
    <s v="Female"/>
    <n v="41"/>
    <x v="1"/>
    <s v="Jaipur"/>
    <s v="Electronics"/>
    <x v="3"/>
    <n v="4"/>
    <n v="31914.720000000001"/>
    <n v="0"/>
    <n v="127658.88"/>
    <n v="104067.29"/>
    <n v="23591.59"/>
    <s v="Credit Card"/>
    <s v="Karan"/>
    <s v="New"/>
    <n v="5"/>
  </r>
  <r>
    <s v="T0153"/>
    <d v="2025-04-15T00:00:00"/>
    <s v="17:00"/>
    <s v="C014"/>
    <s v="Harsh Patel"/>
    <s v="Female"/>
    <n v="24"/>
    <x v="2"/>
    <s v="Kochi"/>
    <s v="Fashion"/>
    <x v="8"/>
    <n v="2"/>
    <n v="1748.8"/>
    <n v="0.08"/>
    <n v="3217.79"/>
    <n v="2183.48"/>
    <n v="1034.31"/>
    <s v="Credit Card"/>
    <s v="Riya"/>
    <s v="Returning"/>
    <n v="5"/>
  </r>
  <r>
    <s v="T0154"/>
    <d v="2025-10-15T00:00:00"/>
    <s v="20:10"/>
    <s v="C016"/>
    <s v="Anaya Patel"/>
    <s v="Female"/>
    <n v="57"/>
    <x v="2"/>
    <s v="Chennai"/>
    <s v="Electronics"/>
    <x v="13"/>
    <n v="1"/>
    <n v="2671.23"/>
    <n v="0"/>
    <n v="2671.23"/>
    <n v="1854.99"/>
    <n v="816.24"/>
    <s v="Debit Card"/>
    <s v="Riya"/>
    <s v="Returning"/>
    <n v="5"/>
  </r>
  <r>
    <s v="T0155"/>
    <d v="2025-08-01T00:00:00"/>
    <s v="20:50"/>
    <s v="C022"/>
    <s v="Mahi Patel"/>
    <s v="Female"/>
    <n v="41"/>
    <x v="2"/>
    <s v="Chennai"/>
    <s v="Fashion"/>
    <x v="6"/>
    <n v="5"/>
    <n v="869.17"/>
    <n v="0.15"/>
    <n v="3693.97"/>
    <n v="2926.64"/>
    <n v="767.33"/>
    <s v="UPI"/>
    <s v="Pooja"/>
    <s v="VIP"/>
    <n v="4"/>
  </r>
  <r>
    <s v="T0156"/>
    <d v="2025-05-29T00:00:00"/>
    <s v="16:40"/>
    <s v="C013"/>
    <s v="Aryan Patel"/>
    <s v="Female"/>
    <n v="19"/>
    <x v="2"/>
    <s v="Chennai"/>
    <s v="Beauty"/>
    <x v="12"/>
    <n v="4"/>
    <n v="1114.3399999999999"/>
    <n v="0.15"/>
    <n v="3788.76"/>
    <n v="2919.76"/>
    <n v="869"/>
    <s v="UPI"/>
    <s v="Riya"/>
    <s v="Returning"/>
    <n v="5"/>
  </r>
  <r>
    <s v="T0157"/>
    <d v="2025-01-29T00:00:00"/>
    <s v="13:45"/>
    <s v="C002"/>
    <s v="Vivaan Patel"/>
    <s v="Female"/>
    <n v="56"/>
    <x v="0"/>
    <s v="Surat"/>
    <s v="Electronics"/>
    <x v="3"/>
    <n v="3"/>
    <n v="28323.25"/>
    <n v="0.08"/>
    <n v="78172.17"/>
    <n v="59923.68"/>
    <n v="18248.490000000002"/>
    <s v="Debit Card"/>
    <s v="Vivek"/>
    <s v="Returning"/>
    <n v="4"/>
  </r>
  <r>
    <s v="T0158"/>
    <d v="2025-01-19T00:00:00"/>
    <s v="15:30"/>
    <s v="C054"/>
    <s v="Khushi Shah"/>
    <s v="Male"/>
    <n v="19"/>
    <x v="0"/>
    <s v="Mumbai"/>
    <s v="Electronics"/>
    <x v="15"/>
    <n v="1"/>
    <n v="5208.8999999999996"/>
    <n v="0.02"/>
    <n v="5104.72"/>
    <n v="3734.66"/>
    <n v="1370.06"/>
    <s v="UPI"/>
    <s v="Pooja"/>
    <s v="Returning"/>
    <n v="5"/>
  </r>
  <r>
    <s v="T0159"/>
    <d v="2025-08-12T00:00:00"/>
    <s v="18:10"/>
    <s v="C040"/>
    <s v="Dev Shah"/>
    <s v="Female"/>
    <n v="39"/>
    <x v="1"/>
    <s v="Chandigarh"/>
    <s v="Electronics"/>
    <x v="3"/>
    <n v="5"/>
    <n v="31118.74"/>
    <n v="0.05"/>
    <n v="147814.01999999999"/>
    <n v="97203.23"/>
    <n v="50610.79"/>
    <s v="UPI"/>
    <s v="Vivek"/>
    <s v="Returning"/>
    <n v="4"/>
  </r>
  <r>
    <s v="T0160"/>
    <d v="2025-03-31T00:00:00"/>
    <s v="18:40"/>
    <s v="C042"/>
    <s v="Kabir Shah"/>
    <s v="Female"/>
    <n v="37"/>
    <x v="0"/>
    <s v="Vadodara"/>
    <s v="Grocery"/>
    <x v="10"/>
    <n v="1"/>
    <n v="321.99"/>
    <n v="0"/>
    <n v="321.99"/>
    <n v="243.32"/>
    <n v="78.67"/>
    <s v="Debit Card"/>
    <s v="Riya"/>
    <s v="VIP"/>
    <n v="5"/>
  </r>
  <r>
    <s v="T0161"/>
    <d v="2025-04-21T00:00:00"/>
    <s v="12:20"/>
    <s v="C004"/>
    <s v="Krish Patel"/>
    <s v="Male"/>
    <n v="41"/>
    <x v="2"/>
    <s v="Kochi"/>
    <s v="Beauty"/>
    <x v="17"/>
    <n v="3"/>
    <n v="518.13"/>
    <n v="0.15"/>
    <n v="1321.23"/>
    <n v="928.2"/>
    <n v="393.03"/>
    <s v="Net Banking"/>
    <s v="Neha"/>
    <s v="Returning"/>
    <n v="4"/>
  </r>
  <r>
    <s v="T0162"/>
    <d v="2025-01-20T00:00:00"/>
    <s v="09:45"/>
    <s v="C057"/>
    <s v="Pooja Shah"/>
    <s v="Female"/>
    <n v="55"/>
    <x v="2"/>
    <s v="Hyderabad"/>
    <s v="Grocery"/>
    <x v="2"/>
    <n v="3"/>
    <n v="418.67"/>
    <n v="0.02"/>
    <n v="1230.8900000000001"/>
    <n v="901.38"/>
    <n v="329.51"/>
    <s v="Cash"/>
    <s v="Riya"/>
    <s v="Returning"/>
    <n v="4"/>
  </r>
  <r>
    <s v="T0163"/>
    <d v="2025-06-08T00:00:00"/>
    <s v="20:20"/>
    <s v="C019"/>
    <s v="Riya Patel"/>
    <s v="Female"/>
    <n v="53"/>
    <x v="2"/>
    <s v="Chennai"/>
    <s v="Home"/>
    <x v="14"/>
    <n v="3"/>
    <n v="8364.31"/>
    <n v="0.1"/>
    <n v="22583.64"/>
    <n v="17371"/>
    <n v="5212.6400000000003"/>
    <s v="Credit Card"/>
    <s v="Riya"/>
    <s v="New"/>
    <n v="5"/>
  </r>
  <r>
    <s v="T0164"/>
    <d v="2025-06-22T00:00:00"/>
    <s v="12:40"/>
    <s v="C019"/>
    <s v="Riya Patel"/>
    <s v="Female"/>
    <n v="53"/>
    <x v="2"/>
    <s v="Chennai"/>
    <s v="Home"/>
    <x v="14"/>
    <n v="1"/>
    <n v="8407.58"/>
    <n v="0.08"/>
    <n v="7734.97"/>
    <n v="4892.43"/>
    <n v="2842.54"/>
    <s v="Cash"/>
    <s v="Karan"/>
    <s v="Returning"/>
    <n v="5"/>
  </r>
  <r>
    <s v="T0165"/>
    <d v="2025-10-28T00:00:00"/>
    <s v="09:00"/>
    <s v="C054"/>
    <s v="Khushi Shah"/>
    <s v="Male"/>
    <n v="19"/>
    <x v="0"/>
    <s v="Mumbai"/>
    <s v="Fashion"/>
    <x v="7"/>
    <n v="3"/>
    <n v="1544.62"/>
    <n v="0.15"/>
    <n v="3938.78"/>
    <n v="3030.67"/>
    <n v="908.11"/>
    <s v="UPI"/>
    <s v="Neha"/>
    <s v="Returning"/>
    <n v="4"/>
  </r>
  <r>
    <s v="T0166"/>
    <d v="2025-02-19T00:00:00"/>
    <s v="11:30"/>
    <s v="C010"/>
    <s v="Dev Patel"/>
    <s v="Male"/>
    <n v="20"/>
    <x v="1"/>
    <s v="Jaipur"/>
    <s v="Beauty"/>
    <x v="17"/>
    <n v="5"/>
    <n v="567.4"/>
    <n v="0.05"/>
    <n v="2695.15"/>
    <n v="1832.02"/>
    <n v="863.13"/>
    <s v="Net Banking"/>
    <s v="Karan"/>
    <s v="New"/>
    <n v="4"/>
  </r>
  <r>
    <s v="T0167"/>
    <d v="2025-03-10T00:00:00"/>
    <s v="13:20"/>
    <s v="C051"/>
    <s v="Kavya Shah"/>
    <s v="Male"/>
    <n v="54"/>
    <x v="0"/>
    <s v="Mumbai"/>
    <s v="Beauty"/>
    <x v="17"/>
    <n v="5"/>
    <n v="568.13"/>
    <n v="0.02"/>
    <n v="2783.84"/>
    <n v="1770.86"/>
    <n v="1012.98"/>
    <s v="Credit Card"/>
    <s v="Karan"/>
    <s v="Returning"/>
    <n v="5"/>
  </r>
  <r>
    <s v="T0168"/>
    <d v="2025-10-24T00:00:00"/>
    <s v="14:40"/>
    <s v="C006"/>
    <s v="Rohan Patel"/>
    <s v="Male"/>
    <n v="38"/>
    <x v="0"/>
    <s v="Ahmedabad"/>
    <s v="Fashion"/>
    <x v="7"/>
    <n v="1"/>
    <n v="1560.33"/>
    <n v="0"/>
    <n v="1560.33"/>
    <n v="1265.93"/>
    <n v="294.39999999999998"/>
    <s v="Cash"/>
    <s v="Neha"/>
    <s v="New"/>
    <n v="4"/>
  </r>
  <r>
    <s v="T0169"/>
    <d v="2025-08-08T00:00:00"/>
    <s v="16:10"/>
    <s v="C035"/>
    <s v="Arjun Shah"/>
    <s v="Female"/>
    <n v="43"/>
    <x v="3"/>
    <s v="Guwahati"/>
    <s v="Electronics"/>
    <x v="3"/>
    <n v="2"/>
    <n v="31654.99"/>
    <n v="0.15"/>
    <n v="53813.48"/>
    <n v="34067.870000000003"/>
    <n v="19745.61"/>
    <s v="Net Banking"/>
    <s v="Pooja"/>
    <s v="New"/>
    <n v="3"/>
  </r>
  <r>
    <s v="T0170"/>
    <d v="2025-12-29T00:00:00"/>
    <s v="17:30"/>
    <s v="C058"/>
    <s v="Meera Shah"/>
    <s v="Female"/>
    <n v="23"/>
    <x v="3"/>
    <s v="Bhubaneswar"/>
    <s v="Fashion"/>
    <x v="6"/>
    <n v="3"/>
    <n v="878.02"/>
    <n v="0.02"/>
    <n v="2581.38"/>
    <n v="1978.6"/>
    <n v="602.78"/>
    <s v="Debit Card"/>
    <s v="Pooja"/>
    <s v="New"/>
    <n v="5"/>
  </r>
  <r>
    <s v="T0171"/>
    <d v="2025-06-03T00:00:00"/>
    <s v="20:50"/>
    <s v="C021"/>
    <s v="Kavya Patel"/>
    <s v="Male"/>
    <n v="57"/>
    <x v="1"/>
    <s v="Delhi"/>
    <s v="Electronics"/>
    <x v="11"/>
    <n v="5"/>
    <n v="59235.41"/>
    <n v="0.02"/>
    <n v="290253.51"/>
    <n v="188372.5"/>
    <n v="101881.01"/>
    <s v="Credit Card"/>
    <s v="Vivek"/>
    <s v="Returning"/>
    <n v="4"/>
  </r>
  <r>
    <s v="T0172"/>
    <d v="2025-12-07T00:00:00"/>
    <s v="20:00"/>
    <s v="C025"/>
    <s v="Jiya Patel"/>
    <s v="Female"/>
    <n v="25"/>
    <x v="2"/>
    <s v="Bengaluru"/>
    <s v="Electronics"/>
    <x v="11"/>
    <n v="2"/>
    <n v="56936.07"/>
    <n v="0.02"/>
    <n v="111594.7"/>
    <n v="71171.53"/>
    <n v="40423.17"/>
    <s v="UPI"/>
    <s v="Amit"/>
    <s v="VIP"/>
    <n v="4"/>
  </r>
  <r>
    <s v="T0173"/>
    <d v="2025-02-12T00:00:00"/>
    <s v="17:45"/>
    <s v="C028"/>
    <s v="Meera Patel"/>
    <s v="Male"/>
    <n v="45"/>
    <x v="2"/>
    <s v="Bengaluru"/>
    <s v="Beauty"/>
    <x v="18"/>
    <n v="2"/>
    <n v="419.88"/>
    <n v="0.15"/>
    <n v="713.8"/>
    <n v="563.46"/>
    <n v="150.34"/>
    <s v="Credit Card"/>
    <s v="Vivek"/>
    <s v="New"/>
    <n v="5"/>
  </r>
  <r>
    <s v="T0174"/>
    <d v="2025-03-07T00:00:00"/>
    <s v="18:10"/>
    <s v="C057"/>
    <s v="Pooja Shah"/>
    <s v="Female"/>
    <n v="55"/>
    <x v="2"/>
    <s v="Hyderabad"/>
    <s v="Grocery"/>
    <x v="9"/>
    <n v="5"/>
    <n v="935.9"/>
    <n v="0.08"/>
    <n v="4305.1400000000003"/>
    <n v="2722.81"/>
    <n v="1582.33"/>
    <s v="Cash"/>
    <s v="Karan"/>
    <s v="Returning"/>
    <n v="3"/>
  </r>
  <r>
    <s v="T0175"/>
    <d v="2025-02-01T00:00:00"/>
    <s v="15:30"/>
    <s v="C049"/>
    <s v="Riya Shah"/>
    <s v="Male"/>
    <n v="41"/>
    <x v="2"/>
    <s v="Kochi"/>
    <s v="Electronics"/>
    <x v="13"/>
    <n v="4"/>
    <n v="2602.6999999999998"/>
    <n v="0.15"/>
    <n v="8849.18"/>
    <n v="5518.25"/>
    <n v="3330.93"/>
    <s v="Net Banking"/>
    <s v="Riya"/>
    <s v="New"/>
    <n v="4"/>
  </r>
  <r>
    <s v="T0176"/>
    <d v="2025-06-17T00:00:00"/>
    <s v="18:20"/>
    <s v="C041"/>
    <s v="Ishaan Shah"/>
    <s v="Female"/>
    <n v="23"/>
    <x v="0"/>
    <s v="Surat"/>
    <s v="Beauty"/>
    <x v="12"/>
    <n v="2"/>
    <n v="1116.52"/>
    <n v="0.15"/>
    <n v="1898.08"/>
    <n v="1307.27"/>
    <n v="590.80999999999995"/>
    <s v="Cash"/>
    <s v="Amit"/>
    <s v="Returning"/>
    <n v="5"/>
  </r>
  <r>
    <s v="T0177"/>
    <d v="2025-10-06T00:00:00"/>
    <s v="17:15"/>
    <s v="C039"/>
    <s v="Yash Shah"/>
    <s v="Male"/>
    <n v="53"/>
    <x v="3"/>
    <s v="Kolkata"/>
    <s v="Home"/>
    <x v="14"/>
    <n v="5"/>
    <n v="9668.85"/>
    <n v="0.08"/>
    <n v="44476.71"/>
    <n v="32230.76"/>
    <n v="12245.95"/>
    <s v="Cash"/>
    <s v="Pooja"/>
    <s v="Returning"/>
    <n v="4"/>
  </r>
  <r>
    <s v="T0178"/>
    <d v="2025-02-24T00:00:00"/>
    <s v="17:45"/>
    <s v="C008"/>
    <s v="Dhruv Patel"/>
    <s v="Female"/>
    <n v="59"/>
    <x v="3"/>
    <s v="Guwahati"/>
    <s v="Electronics"/>
    <x v="3"/>
    <n v="2"/>
    <n v="28358.18"/>
    <n v="0.08"/>
    <n v="52179.05"/>
    <n v="38172.32"/>
    <n v="14006.73"/>
    <s v="Credit Card"/>
    <s v="Karan"/>
    <s v="Returning"/>
    <n v="5"/>
  </r>
  <r>
    <s v="T0179"/>
    <d v="2025-02-09T00:00:00"/>
    <s v="14:00"/>
    <s v="C043"/>
    <s v="Aryan Shah"/>
    <s v="Male"/>
    <n v="45"/>
    <x v="0"/>
    <s v="Vadodara"/>
    <s v="Fashion"/>
    <x v="0"/>
    <n v="5"/>
    <n v="2904.22"/>
    <n v="0.05"/>
    <n v="13795.04"/>
    <n v="9416.94"/>
    <n v="4378.1000000000004"/>
    <s v="Debit Card"/>
    <s v="Amit"/>
    <s v="Returning"/>
    <n v="4"/>
  </r>
  <r>
    <s v="T0180"/>
    <d v="2025-05-09T00:00:00"/>
    <s v="15:30"/>
    <s v="C016"/>
    <s v="Anaya Patel"/>
    <s v="Female"/>
    <n v="57"/>
    <x v="2"/>
    <s v="Chennai"/>
    <s v="Fashion"/>
    <x v="6"/>
    <n v="2"/>
    <n v="851.9"/>
    <n v="0.15"/>
    <n v="1448.23"/>
    <n v="1181.69"/>
    <n v="266.54000000000002"/>
    <s v="Debit Card"/>
    <s v="Karan"/>
    <s v="Returning"/>
    <n v="3"/>
  </r>
  <r>
    <s v="T0181"/>
    <d v="2025-10-08T00:00:00"/>
    <s v="12:10"/>
    <s v="C004"/>
    <s v="Krish Patel"/>
    <s v="Male"/>
    <n v="41"/>
    <x v="2"/>
    <s v="Kochi"/>
    <s v="Electronics"/>
    <x v="3"/>
    <n v="5"/>
    <n v="32272.6"/>
    <n v="0.08"/>
    <n v="148453.96"/>
    <n v="117521.41"/>
    <n v="30932.55"/>
    <s v="Cash"/>
    <s v="Riya"/>
    <s v="Returning"/>
    <n v="5"/>
  </r>
  <r>
    <s v="T0182"/>
    <d v="2025-12-30T00:00:00"/>
    <s v="20:00"/>
    <s v="C044"/>
    <s v="Harsh Shah"/>
    <s v="Male"/>
    <n v="18"/>
    <x v="2"/>
    <s v="Bengaluru"/>
    <s v="Home"/>
    <x v="5"/>
    <n v="3"/>
    <n v="6895.01"/>
    <n v="0.15"/>
    <n v="17582.28"/>
    <n v="11512.04"/>
    <n v="6070.24"/>
    <s v="Net Banking"/>
    <s v="Pooja"/>
    <s v="Returning"/>
    <n v="3"/>
  </r>
  <r>
    <s v="T0183"/>
    <d v="2025-06-12T00:00:00"/>
    <s v="12:10"/>
    <s v="C021"/>
    <s v="Kavya Patel"/>
    <s v="Male"/>
    <n v="57"/>
    <x v="1"/>
    <s v="Delhi"/>
    <s v="Home"/>
    <x v="14"/>
    <n v="2"/>
    <n v="9358.31"/>
    <n v="0"/>
    <n v="18716.62"/>
    <n v="13234.54"/>
    <n v="5482.08"/>
    <s v="UPI"/>
    <s v="Vivek"/>
    <s v="Returning"/>
    <n v="5"/>
  </r>
  <r>
    <s v="T0184"/>
    <d v="2025-10-16T00:00:00"/>
    <s v="12:30"/>
    <s v="C027"/>
    <s v="Pooja Patel"/>
    <s v="Female"/>
    <n v="22"/>
    <x v="0"/>
    <s v="Surat"/>
    <s v="Fashion"/>
    <x v="8"/>
    <n v="3"/>
    <n v="1853.66"/>
    <n v="0.08"/>
    <n v="5116.1000000000004"/>
    <n v="3869.48"/>
    <n v="1246.6199999999999"/>
    <s v="UPI"/>
    <s v="Pooja"/>
    <s v="New"/>
    <n v="5"/>
  </r>
  <r>
    <s v="T0185"/>
    <d v="2025-05-08T00:00:00"/>
    <s v="11:20"/>
    <s v="C023"/>
    <s v="Aanya Patel"/>
    <s v="Male"/>
    <n v="58"/>
    <x v="0"/>
    <s v="Vadodara"/>
    <s v="Grocery"/>
    <x v="9"/>
    <n v="5"/>
    <n v="832.78"/>
    <n v="0.1"/>
    <n v="3747.51"/>
    <n v="2629.48"/>
    <n v="1118.03"/>
    <s v="Cash"/>
    <s v="Riya"/>
    <s v="VIP"/>
    <n v="4"/>
  </r>
  <r>
    <s v="T0186"/>
    <d v="2025-12-21T00:00:00"/>
    <s v="20:30"/>
    <s v="C009"/>
    <s v="Yash Patel"/>
    <s v="Female"/>
    <n v="32"/>
    <x v="2"/>
    <s v="Kochi"/>
    <s v="Grocery"/>
    <x v="9"/>
    <n v="1"/>
    <n v="953.89"/>
    <n v="0.05"/>
    <n v="906.2"/>
    <n v="663.42"/>
    <n v="242.78"/>
    <s v="Debit Card"/>
    <s v="Neha"/>
    <s v="Returning"/>
    <n v="4"/>
  </r>
  <r>
    <s v="T0187"/>
    <d v="2025-11-24T00:00:00"/>
    <s v="11:15"/>
    <s v="C036"/>
    <s v="Rohan Shah"/>
    <s v="Male"/>
    <n v="49"/>
    <x v="2"/>
    <s v="Hyderabad"/>
    <s v="Grocery"/>
    <x v="10"/>
    <n v="3"/>
    <n v="296.27999999999997"/>
    <n v="0"/>
    <n v="888.84"/>
    <n v="626"/>
    <n v="262.83999999999997"/>
    <s v="Credit Card"/>
    <s v="Riya"/>
    <s v="New"/>
    <n v="5"/>
  </r>
  <r>
    <s v="T0188"/>
    <d v="2025-04-20T00:00:00"/>
    <s v="11:15"/>
    <s v="C019"/>
    <s v="Riya Patel"/>
    <s v="Female"/>
    <n v="53"/>
    <x v="2"/>
    <s v="Chennai"/>
    <s v="Beauty"/>
    <x v="18"/>
    <n v="4"/>
    <n v="415.3"/>
    <n v="0.15"/>
    <n v="1412.02"/>
    <n v="1080.67"/>
    <n v="331.35"/>
    <s v="Debit Card"/>
    <s v="Pooja"/>
    <s v="Returning"/>
    <n v="4"/>
  </r>
  <r>
    <s v="T0189"/>
    <d v="2025-04-30T00:00:00"/>
    <s v="14:30"/>
    <s v="C047"/>
    <s v="Diya Shah"/>
    <s v="Male"/>
    <n v="50"/>
    <x v="2"/>
    <s v="Bengaluru"/>
    <s v="Fashion"/>
    <x v="7"/>
    <n v="1"/>
    <n v="1438.05"/>
    <n v="0"/>
    <n v="1438.05"/>
    <n v="1026.4100000000001"/>
    <n v="411.64"/>
    <s v="UPI"/>
    <s v="Riya"/>
    <s v="Returning"/>
    <n v="4"/>
  </r>
  <r>
    <s v="T0190"/>
    <d v="2025-11-30T00:00:00"/>
    <s v="17:20"/>
    <s v="C059"/>
    <s v="Avni Shah"/>
    <s v="Male"/>
    <n v="33"/>
    <x v="3"/>
    <s v="Patna"/>
    <s v="Electronics"/>
    <x v="15"/>
    <n v="2"/>
    <n v="5134.24"/>
    <n v="0.15"/>
    <n v="8728.2099999999991"/>
    <n v="6005.72"/>
    <n v="2722.49"/>
    <s v="Net Banking"/>
    <s v="Riya"/>
    <s v="Returning"/>
    <n v="3"/>
  </r>
  <r>
    <s v="T0191"/>
    <d v="2025-09-24T00:00:00"/>
    <s v="10:30"/>
    <s v="C035"/>
    <s v="Arjun Shah"/>
    <s v="Female"/>
    <n v="43"/>
    <x v="3"/>
    <s v="Guwahati"/>
    <s v="Fashion"/>
    <x v="6"/>
    <n v="4"/>
    <n v="859.71"/>
    <n v="0.08"/>
    <n v="3163.73"/>
    <n v="2034.24"/>
    <n v="1129.49"/>
    <s v="Net Banking"/>
    <s v="Amit"/>
    <s v="VIP"/>
    <n v="5"/>
  </r>
  <r>
    <s v="T0192"/>
    <d v="2025-08-04T00:00:00"/>
    <s v="09:50"/>
    <s v="C017"/>
    <s v="Diya Patel"/>
    <s v="Female"/>
    <n v="59"/>
    <x v="2"/>
    <s v="Chennai"/>
    <s v="Fashion"/>
    <x v="0"/>
    <n v="4"/>
    <n v="2983.98"/>
    <n v="0.15"/>
    <n v="10145.530000000001"/>
    <n v="7860.51"/>
    <n v="2285.02"/>
    <s v="UPI"/>
    <s v="Karan"/>
    <s v="VIP"/>
    <n v="4"/>
  </r>
  <r>
    <s v="T0193"/>
    <d v="2025-01-21T00:00:00"/>
    <s v="11:40"/>
    <s v="C040"/>
    <s v="Dev Shah"/>
    <s v="Female"/>
    <n v="39"/>
    <x v="1"/>
    <s v="Chandigarh"/>
    <s v="Fashion"/>
    <x v="6"/>
    <n v="3"/>
    <n v="862.19"/>
    <n v="0.08"/>
    <n v="2379.64"/>
    <n v="1524.98"/>
    <n v="854.66"/>
    <s v="Cash"/>
    <s v="Vivek"/>
    <s v="VIP"/>
    <n v="4"/>
  </r>
  <r>
    <s v="T0194"/>
    <d v="2025-06-11T00:00:00"/>
    <s v="19:45"/>
    <s v="C024"/>
    <s v="Khushi Patel"/>
    <s v="Male"/>
    <n v="42"/>
    <x v="0"/>
    <s v="Surat"/>
    <s v="Grocery"/>
    <x v="4"/>
    <n v="1"/>
    <n v="230.12"/>
    <n v="0.1"/>
    <n v="207.11"/>
    <n v="147.97999999999999"/>
    <n v="59.13"/>
    <s v="Credit Card"/>
    <s v="Karan"/>
    <s v="New"/>
    <n v="4"/>
  </r>
  <r>
    <s v="T0195"/>
    <d v="2025-04-03T00:00:00"/>
    <s v="09:15"/>
    <s v="C001"/>
    <s v="Aarav Patel"/>
    <s v="Male"/>
    <n v="32"/>
    <x v="2"/>
    <s v="Bengaluru"/>
    <s v="Electronics"/>
    <x v="13"/>
    <n v="5"/>
    <n v="2489.7199999999998"/>
    <n v="0"/>
    <n v="12448.6"/>
    <n v="9004.25"/>
    <n v="3444.35"/>
    <s v="UPI"/>
    <s v="Riya"/>
    <s v="New"/>
    <n v="5"/>
  </r>
  <r>
    <s v="T0196"/>
    <d v="2025-12-19T00:00:00"/>
    <s v="18:45"/>
    <s v="C020"/>
    <s v="Priya Patel"/>
    <s v="Female"/>
    <n v="25"/>
    <x v="0"/>
    <s v="Mumbai"/>
    <s v="Beauty"/>
    <x v="18"/>
    <n v="2"/>
    <n v="435.13"/>
    <n v="0.15"/>
    <n v="739.72"/>
    <n v="499.73"/>
    <n v="239.99"/>
    <s v="Net Banking"/>
    <s v="Amit"/>
    <s v="Returning"/>
    <n v="3"/>
  </r>
  <r>
    <s v="T0197"/>
    <d v="2025-02-28T00:00:00"/>
    <s v="15:45"/>
    <s v="C051"/>
    <s v="Kavya Shah"/>
    <s v="Male"/>
    <n v="54"/>
    <x v="0"/>
    <s v="Mumbai"/>
    <s v="Grocery"/>
    <x v="2"/>
    <n v="3"/>
    <n v="417.23"/>
    <n v="0.05"/>
    <n v="1189.1099999999999"/>
    <n v="768.52"/>
    <n v="420.59"/>
    <s v="Net Banking"/>
    <s v="Amit"/>
    <s v="Returning"/>
    <n v="5"/>
  </r>
  <r>
    <s v="T0198"/>
    <d v="2025-04-19T00:00:00"/>
    <s v="20:30"/>
    <s v="C008"/>
    <s v="Dhruv Patel"/>
    <s v="Female"/>
    <n v="59"/>
    <x v="3"/>
    <s v="Guwahati"/>
    <s v="Home"/>
    <x v="1"/>
    <n v="2"/>
    <n v="3754.83"/>
    <n v="0.02"/>
    <n v="7359.47"/>
    <n v="5624.69"/>
    <n v="1734.78"/>
    <s v="UPI"/>
    <s v="Karan"/>
    <s v="New"/>
    <n v="5"/>
  </r>
  <r>
    <s v="T0199"/>
    <d v="2025-08-03T00:00:00"/>
    <s v="09:45"/>
    <s v="C047"/>
    <s v="Diya Shah"/>
    <s v="Male"/>
    <n v="50"/>
    <x v="2"/>
    <s v="Bengaluru"/>
    <s v="Grocery"/>
    <x v="10"/>
    <n v="2"/>
    <n v="307.93"/>
    <n v="0"/>
    <n v="615.86"/>
    <n v="438.03"/>
    <n v="177.83"/>
    <s v="Credit Card"/>
    <s v="Vivek"/>
    <s v="New"/>
    <n v="4"/>
  </r>
  <r>
    <s v="T0200"/>
    <d v="2025-04-23T00:00:00"/>
    <s v="09:20"/>
    <s v="C020"/>
    <s v="Priya Patel"/>
    <s v="Female"/>
    <n v="25"/>
    <x v="0"/>
    <s v="Mumbai"/>
    <s v="Electronics"/>
    <x v="13"/>
    <n v="1"/>
    <n v="2676.69"/>
    <n v="0.1"/>
    <n v="2409.02"/>
    <n v="1820.58"/>
    <n v="588.44000000000005"/>
    <s v="Credit Card"/>
    <s v="Karan"/>
    <s v="Returning"/>
    <n v="3"/>
  </r>
  <r>
    <s v="T0201"/>
    <d v="2025-02-20T00:00:00"/>
    <s v="14:00"/>
    <s v="C018"/>
    <s v="Isha Patel"/>
    <s v="Female"/>
    <n v="35"/>
    <x v="1"/>
    <s v="Chandigarh"/>
    <s v="Fashion"/>
    <x v="7"/>
    <n v="3"/>
    <n v="1553.75"/>
    <n v="0.05"/>
    <n v="4428.1899999999996"/>
    <n v="3401.72"/>
    <n v="1026.47"/>
    <s v="Net Banking"/>
    <s v="Riya"/>
    <s v="Returning"/>
    <n v="5"/>
  </r>
  <r>
    <s v="T0202"/>
    <d v="2025-03-22T00:00:00"/>
    <s v="17:40"/>
    <s v="C002"/>
    <s v="Vivaan Patel"/>
    <s v="Female"/>
    <n v="56"/>
    <x v="0"/>
    <s v="Surat"/>
    <s v="Fashion"/>
    <x v="0"/>
    <n v="1"/>
    <n v="2613.81"/>
    <n v="0.02"/>
    <n v="2561.5300000000002"/>
    <n v="2054.42"/>
    <n v="507.11"/>
    <s v="UPI"/>
    <s v="Amit"/>
    <s v="Returning"/>
    <n v="5"/>
  </r>
  <r>
    <s v="T0203"/>
    <d v="2025-10-04T00:00:00"/>
    <s v="14:15"/>
    <s v="C028"/>
    <s v="Meera Patel"/>
    <s v="Male"/>
    <n v="45"/>
    <x v="2"/>
    <s v="Bengaluru"/>
    <s v="Home"/>
    <x v="14"/>
    <n v="5"/>
    <n v="8676.5499999999993"/>
    <n v="0.1"/>
    <n v="39044.47"/>
    <n v="30936.83"/>
    <n v="8107.64"/>
    <s v="Cash"/>
    <s v="Pooja"/>
    <s v="Returning"/>
    <n v="5"/>
  </r>
  <r>
    <s v="T0204"/>
    <d v="2025-06-21T00:00:00"/>
    <s v="17:45"/>
    <s v="C028"/>
    <s v="Meera Patel"/>
    <s v="Male"/>
    <n v="45"/>
    <x v="2"/>
    <s v="Bengaluru"/>
    <s v="Electronics"/>
    <x v="13"/>
    <n v="2"/>
    <n v="2448.02"/>
    <n v="0.15"/>
    <n v="4161.63"/>
    <n v="3167.49"/>
    <n v="994.14"/>
    <s v="UPI"/>
    <s v="Neha"/>
    <s v="New"/>
    <n v="4"/>
  </r>
  <r>
    <s v="T0205"/>
    <d v="2025-02-25T00:00:00"/>
    <s v="09:00"/>
    <s v="C004"/>
    <s v="Krish Patel"/>
    <s v="Male"/>
    <n v="41"/>
    <x v="2"/>
    <s v="Kochi"/>
    <s v="Grocery"/>
    <x v="9"/>
    <n v="5"/>
    <n v="902.48"/>
    <n v="0.02"/>
    <n v="4422.1499999999996"/>
    <n v="3305.03"/>
    <n v="1117.1199999999999"/>
    <s v="Debit Card"/>
    <s v="Karan"/>
    <s v="Returning"/>
    <n v="4"/>
  </r>
  <r>
    <s v="T0206"/>
    <d v="2025-03-05T00:00:00"/>
    <s v="13:50"/>
    <s v="C038"/>
    <s v="Dhruv Shah"/>
    <s v="Male"/>
    <n v="56"/>
    <x v="0"/>
    <s v="Mumbai"/>
    <s v="Home"/>
    <x v="16"/>
    <n v="4"/>
    <n v="1817.19"/>
    <n v="0.08"/>
    <n v="6687.26"/>
    <n v="4369.9399999999996"/>
    <n v="2317.3200000000002"/>
    <s v="Credit Card"/>
    <s v="Vivek"/>
    <s v="New"/>
    <n v="5"/>
  </r>
  <r>
    <s v="T0207"/>
    <d v="2025-03-16T00:00:00"/>
    <s v="12:10"/>
    <s v="C003"/>
    <s v="Aditya Patel"/>
    <s v="Female"/>
    <n v="28"/>
    <x v="1"/>
    <s v="Chandigarh"/>
    <s v="Electronics"/>
    <x v="3"/>
    <n v="3"/>
    <n v="29462.34"/>
    <n v="0.02"/>
    <n v="86619.28"/>
    <n v="60554.400000000001"/>
    <n v="26064.880000000001"/>
    <s v="Debit Card"/>
    <s v="Vivek"/>
    <s v="Returning"/>
    <n v="4"/>
  </r>
  <r>
    <s v="T0208"/>
    <d v="2025-05-02T00:00:00"/>
    <s v="13:10"/>
    <s v="C037"/>
    <s v="Rahul Shah"/>
    <s v="Female"/>
    <n v="49"/>
    <x v="3"/>
    <s v="Kolkata"/>
    <s v="Home"/>
    <x v="14"/>
    <n v="4"/>
    <n v="9712.6"/>
    <n v="0"/>
    <n v="38850.400000000001"/>
    <n v="31733.11"/>
    <n v="7117.29"/>
    <s v="Net Banking"/>
    <s v="Karan"/>
    <s v="VIP"/>
    <n v="4"/>
  </r>
  <r>
    <s v="T0209"/>
    <d v="2025-08-12T00:00:00"/>
    <s v="14:20"/>
    <s v="C045"/>
    <s v="Manav Shah"/>
    <s v="Male"/>
    <n v="30"/>
    <x v="3"/>
    <s v="Kolkata"/>
    <s v="Grocery"/>
    <x v="2"/>
    <n v="1"/>
    <n v="452.32"/>
    <n v="0.1"/>
    <n v="407.09"/>
    <n v="314.43"/>
    <n v="92.66"/>
    <s v="Debit Card"/>
    <s v="Karan"/>
    <s v="Returning"/>
    <n v="5"/>
  </r>
  <r>
    <s v="T0210"/>
    <d v="2025-02-20T00:00:00"/>
    <s v="18:00"/>
    <s v="C045"/>
    <s v="Manav Shah"/>
    <s v="Male"/>
    <n v="30"/>
    <x v="3"/>
    <s v="Kolkata"/>
    <s v="Fashion"/>
    <x v="0"/>
    <n v="4"/>
    <n v="2681.3"/>
    <n v="0.05"/>
    <n v="10188.94"/>
    <n v="7453.64"/>
    <n v="2735.3"/>
    <s v="Debit Card"/>
    <s v="Amit"/>
    <s v="Returning"/>
    <n v="3"/>
  </r>
  <r>
    <s v="T0211"/>
    <d v="2025-04-21T00:00:00"/>
    <s v="10:15"/>
    <s v="C035"/>
    <s v="Arjun Shah"/>
    <s v="Female"/>
    <n v="43"/>
    <x v="3"/>
    <s v="Guwahati"/>
    <s v="Electronics"/>
    <x v="11"/>
    <n v="1"/>
    <n v="57064.29"/>
    <n v="0.02"/>
    <n v="55923"/>
    <n v="41644.81"/>
    <n v="14278.19"/>
    <s v="UPI"/>
    <s v="Neha"/>
    <s v="Returning"/>
    <n v="5"/>
  </r>
  <r>
    <s v="T0212"/>
    <d v="2025-10-11T00:00:00"/>
    <s v="13:00"/>
    <s v="C008"/>
    <s v="Dhruv Patel"/>
    <s v="Female"/>
    <n v="59"/>
    <x v="3"/>
    <s v="Guwahati"/>
    <s v="Beauty"/>
    <x v="17"/>
    <n v="3"/>
    <n v="517.65"/>
    <n v="0.05"/>
    <n v="1475.3"/>
    <n v="1183.03"/>
    <n v="292.27"/>
    <s v="Debit Card"/>
    <s v="Riya"/>
    <s v="Returning"/>
    <n v="5"/>
  </r>
  <r>
    <s v="T0213"/>
    <d v="2025-09-03T00:00:00"/>
    <s v="19:45"/>
    <s v="C021"/>
    <s v="Kavya Patel"/>
    <s v="Male"/>
    <n v="57"/>
    <x v="1"/>
    <s v="Delhi"/>
    <s v="Electronics"/>
    <x v="11"/>
    <n v="4"/>
    <n v="54707.68"/>
    <n v="0.02"/>
    <n v="214454.11"/>
    <n v="173452.29"/>
    <n v="41001.82"/>
    <s v="UPI"/>
    <s v="Karan"/>
    <s v="Returning"/>
    <n v="5"/>
  </r>
  <r>
    <s v="T0214"/>
    <d v="2025-11-04T00:00:00"/>
    <s v="14:45"/>
    <s v="C044"/>
    <s v="Harsh Shah"/>
    <s v="Male"/>
    <n v="18"/>
    <x v="2"/>
    <s v="Bengaluru"/>
    <s v="Home"/>
    <x v="16"/>
    <n v="3"/>
    <n v="1714.53"/>
    <n v="0.05"/>
    <n v="4886.41"/>
    <n v="3529.23"/>
    <n v="1357.18"/>
    <s v="UPI"/>
    <s v="Karan"/>
    <s v="Returning"/>
    <n v="5"/>
  </r>
  <r>
    <s v="T0215"/>
    <d v="2025-08-07T00:00:00"/>
    <s v="10:20"/>
    <s v="C014"/>
    <s v="Harsh Patel"/>
    <s v="Female"/>
    <n v="24"/>
    <x v="2"/>
    <s v="Kochi"/>
    <s v="Grocery"/>
    <x v="9"/>
    <n v="4"/>
    <n v="944.15"/>
    <n v="0.05"/>
    <n v="3587.77"/>
    <n v="2368.27"/>
    <n v="1219.5"/>
    <s v="UPI"/>
    <s v="Pooja"/>
    <s v="New"/>
    <n v="5"/>
  </r>
  <r>
    <s v="T0216"/>
    <d v="2025-12-18T00:00:00"/>
    <s v="16:15"/>
    <s v="C033"/>
    <s v="Aditya Shah"/>
    <s v="Female"/>
    <n v="22"/>
    <x v="0"/>
    <s v="Surat"/>
    <s v="Home"/>
    <x v="14"/>
    <n v="3"/>
    <n v="8324.34"/>
    <n v="0.15"/>
    <n v="21227.07"/>
    <n v="14097.94"/>
    <n v="7129.13"/>
    <s v="Credit Card"/>
    <s v="Riya"/>
    <s v="Returning"/>
    <n v="5"/>
  </r>
  <r>
    <s v="T0217"/>
    <d v="2025-10-25T00:00:00"/>
    <s v="13:50"/>
    <s v="C054"/>
    <s v="Khushi Shah"/>
    <s v="Male"/>
    <n v="19"/>
    <x v="0"/>
    <s v="Mumbai"/>
    <s v="Beauty"/>
    <x v="18"/>
    <n v="3"/>
    <n v="429.17"/>
    <n v="0"/>
    <n v="1287.51"/>
    <n v="1002.56"/>
    <n v="284.95"/>
    <s v="Debit Card"/>
    <s v="Karan"/>
    <s v="New"/>
    <n v="5"/>
  </r>
  <r>
    <s v="T0218"/>
    <d v="2025-11-23T00:00:00"/>
    <s v="15:15"/>
    <s v="C040"/>
    <s v="Dev Shah"/>
    <s v="Female"/>
    <n v="39"/>
    <x v="1"/>
    <s v="Chandigarh"/>
    <s v="Beauty"/>
    <x v="18"/>
    <n v="5"/>
    <n v="467.31"/>
    <n v="0.1"/>
    <n v="2102.9"/>
    <n v="1306.18"/>
    <n v="796.72"/>
    <s v="Net Banking"/>
    <s v="Pooja"/>
    <s v="Returning"/>
    <n v="5"/>
  </r>
  <r>
    <s v="T0219"/>
    <d v="2025-02-04T00:00:00"/>
    <s v="10:45"/>
    <s v="C036"/>
    <s v="Rohan Shah"/>
    <s v="Male"/>
    <n v="49"/>
    <x v="2"/>
    <s v="Hyderabad"/>
    <s v="Electronics"/>
    <x v="11"/>
    <n v="2"/>
    <n v="51283.31"/>
    <n v="0.08"/>
    <n v="94361.29"/>
    <n v="66187.02"/>
    <n v="28174.27"/>
    <s v="Debit Card"/>
    <s v="Karan"/>
    <s v="Returning"/>
    <n v="5"/>
  </r>
  <r>
    <s v="T0220"/>
    <d v="2025-06-22T00:00:00"/>
    <s v="10:30"/>
    <s v="C013"/>
    <s v="Aryan Patel"/>
    <s v="Female"/>
    <n v="19"/>
    <x v="2"/>
    <s v="Chennai"/>
    <s v="Grocery"/>
    <x v="9"/>
    <n v="2"/>
    <n v="839.07"/>
    <n v="0.02"/>
    <n v="1644.58"/>
    <n v="1280.97"/>
    <n v="363.61"/>
    <s v="Cash"/>
    <s v="Neha"/>
    <s v="New"/>
    <n v="4"/>
  </r>
  <r>
    <s v="T0221"/>
    <d v="2025-10-17T00:00:00"/>
    <s v="15:15"/>
    <s v="C047"/>
    <s v="Diya Shah"/>
    <s v="Male"/>
    <n v="50"/>
    <x v="2"/>
    <s v="Bengaluru"/>
    <s v="Beauty"/>
    <x v="17"/>
    <n v="3"/>
    <n v="507.94"/>
    <n v="0.1"/>
    <n v="1371.44"/>
    <n v="1081.31"/>
    <n v="290.13"/>
    <s v="UPI"/>
    <s v="Amit"/>
    <s v="New"/>
    <n v="3"/>
  </r>
  <r>
    <s v="T0222"/>
    <d v="2025-02-22T00:00:00"/>
    <s v="11:00"/>
    <s v="C019"/>
    <s v="Riya Patel"/>
    <s v="Female"/>
    <n v="53"/>
    <x v="2"/>
    <s v="Chennai"/>
    <s v="Beauty"/>
    <x v="12"/>
    <n v="1"/>
    <n v="1242.2"/>
    <n v="0.15"/>
    <n v="1055.8699999999999"/>
    <n v="750.5"/>
    <n v="305.37"/>
    <s v="Cash"/>
    <s v="Riya"/>
    <s v="New"/>
    <n v="5"/>
  </r>
  <r>
    <s v="T0223"/>
    <d v="2025-06-27T00:00:00"/>
    <s v="20:40"/>
    <s v="C014"/>
    <s v="Harsh Patel"/>
    <s v="Female"/>
    <n v="24"/>
    <x v="2"/>
    <s v="Kochi"/>
    <s v="Grocery"/>
    <x v="4"/>
    <n v="4"/>
    <n v="235.72"/>
    <n v="0.02"/>
    <n v="924.02"/>
    <n v="647.08000000000004"/>
    <n v="276.94"/>
    <s v="Credit Card"/>
    <s v="Neha"/>
    <s v="Returning"/>
    <n v="5"/>
  </r>
  <r>
    <s v="T0224"/>
    <d v="2025-07-23T00:00:00"/>
    <s v="09:45"/>
    <s v="C041"/>
    <s v="Ishaan Shah"/>
    <s v="Female"/>
    <n v="23"/>
    <x v="0"/>
    <s v="Surat"/>
    <s v="Electronics"/>
    <x v="11"/>
    <n v="2"/>
    <n v="57490.55"/>
    <n v="0.02"/>
    <n v="112681.48"/>
    <n v="76086.36"/>
    <n v="36595.120000000003"/>
    <s v="UPI"/>
    <s v="Neha"/>
    <s v="Returning"/>
    <n v="4"/>
  </r>
  <r>
    <s v="T0225"/>
    <d v="2025-11-16T00:00:00"/>
    <s v="20:15"/>
    <s v="C044"/>
    <s v="Harsh Shah"/>
    <s v="Male"/>
    <n v="18"/>
    <x v="2"/>
    <s v="Bengaluru"/>
    <s v="Grocery"/>
    <x v="9"/>
    <n v="3"/>
    <n v="909.36"/>
    <n v="0.02"/>
    <n v="2673.52"/>
    <n v="1825.13"/>
    <n v="848.39"/>
    <s v="Cash"/>
    <s v="Neha"/>
    <s v="VIP"/>
    <n v="4"/>
  </r>
  <r>
    <s v="T0226"/>
    <d v="2025-07-17T00:00:00"/>
    <s v="16:20"/>
    <s v="C049"/>
    <s v="Riya Shah"/>
    <s v="Male"/>
    <n v="41"/>
    <x v="2"/>
    <s v="Kochi"/>
    <s v="Fashion"/>
    <x v="6"/>
    <n v="2"/>
    <n v="834.09"/>
    <n v="0.1"/>
    <n v="1501.36"/>
    <n v="1047.24"/>
    <n v="454.12"/>
    <s v="Debit Card"/>
    <s v="Amit"/>
    <s v="Returning"/>
    <n v="3"/>
  </r>
  <r>
    <s v="T0227"/>
    <d v="2025-08-01T00:00:00"/>
    <s v="13:15"/>
    <s v="C023"/>
    <s v="Aanya Patel"/>
    <s v="Male"/>
    <n v="58"/>
    <x v="0"/>
    <s v="Vadodara"/>
    <s v="Fashion"/>
    <x v="6"/>
    <n v="4"/>
    <n v="846.66"/>
    <n v="0.08"/>
    <n v="3115.71"/>
    <n v="2369.52"/>
    <n v="746.19"/>
    <s v="UPI"/>
    <s v="Vivek"/>
    <s v="Returning"/>
    <n v="5"/>
  </r>
  <r>
    <s v="T0228"/>
    <d v="2025-10-25T00:00:00"/>
    <s v="09:30"/>
    <s v="C037"/>
    <s v="Rahul Shah"/>
    <s v="Female"/>
    <n v="49"/>
    <x v="3"/>
    <s v="Kolkata"/>
    <s v="Fashion"/>
    <x v="0"/>
    <n v="4"/>
    <n v="2963.89"/>
    <n v="0.05"/>
    <n v="11262.78"/>
    <n v="8013.92"/>
    <n v="3248.86"/>
    <s v="Credit Card"/>
    <s v="Riya"/>
    <s v="Returning"/>
    <n v="3"/>
  </r>
  <r>
    <s v="T0229"/>
    <d v="2025-01-13T00:00:00"/>
    <s v="10:30"/>
    <s v="C007"/>
    <s v="Rahul Patel"/>
    <s v="Male"/>
    <n v="42"/>
    <x v="2"/>
    <s v="Chennai"/>
    <s v="Grocery"/>
    <x v="9"/>
    <n v="2"/>
    <n v="858.53"/>
    <n v="0"/>
    <n v="1717.06"/>
    <n v="1363.26"/>
    <n v="353.8"/>
    <s v="UPI"/>
    <s v="Pooja"/>
    <s v="Returning"/>
    <n v="5"/>
  </r>
  <r>
    <s v="T0230"/>
    <d v="2025-08-04T00:00:00"/>
    <s v="16:45"/>
    <s v="C034"/>
    <s v="Krish Shah"/>
    <s v="Male"/>
    <n v="56"/>
    <x v="2"/>
    <s v="Chennai"/>
    <s v="Electronics"/>
    <x v="13"/>
    <n v="4"/>
    <n v="2689.84"/>
    <n v="0.08"/>
    <n v="9898.61"/>
    <n v="6919.39"/>
    <n v="2979.22"/>
    <s v="UPI"/>
    <s v="Pooja"/>
    <s v="New"/>
    <n v="3"/>
  </r>
  <r>
    <s v="T0231"/>
    <d v="2025-11-09T00:00:00"/>
    <s v="09:40"/>
    <s v="C013"/>
    <s v="Aryan Patel"/>
    <s v="Female"/>
    <n v="19"/>
    <x v="2"/>
    <s v="Chennai"/>
    <s v="Beauty"/>
    <x v="18"/>
    <n v="4"/>
    <n v="421.19"/>
    <n v="0.02"/>
    <n v="1651.06"/>
    <n v="1028.51"/>
    <n v="622.54999999999995"/>
    <s v="Net Banking"/>
    <s v="Riya"/>
    <s v="Returning"/>
    <n v="3"/>
  </r>
  <r>
    <s v="T0232"/>
    <d v="2025-05-18T00:00:00"/>
    <s v="11:00"/>
    <s v="C036"/>
    <s v="Rohan Shah"/>
    <s v="Male"/>
    <n v="49"/>
    <x v="2"/>
    <s v="Hyderabad"/>
    <s v="Beauty"/>
    <x v="17"/>
    <n v="1"/>
    <n v="585.73"/>
    <n v="0.08"/>
    <n v="538.87"/>
    <n v="335.17"/>
    <n v="203.7"/>
    <s v="Debit Card"/>
    <s v="Amit"/>
    <s v="VIP"/>
    <n v="4"/>
  </r>
  <r>
    <s v="T0233"/>
    <d v="2025-11-17T00:00:00"/>
    <s v="12:45"/>
    <s v="C038"/>
    <s v="Dhruv Shah"/>
    <s v="Male"/>
    <n v="56"/>
    <x v="0"/>
    <s v="Mumbai"/>
    <s v="Beauty"/>
    <x v="12"/>
    <n v="1"/>
    <n v="1204.0899999999999"/>
    <n v="0.02"/>
    <n v="1180.01"/>
    <n v="933.89"/>
    <n v="246.12"/>
    <s v="Net Banking"/>
    <s v="Neha"/>
    <s v="Returning"/>
    <n v="5"/>
  </r>
  <r>
    <s v="T0234"/>
    <d v="2025-05-14T00:00:00"/>
    <s v="15:50"/>
    <s v="C034"/>
    <s v="Krish Shah"/>
    <s v="Male"/>
    <n v="56"/>
    <x v="2"/>
    <s v="Chennai"/>
    <s v="Home"/>
    <x v="1"/>
    <n v="1"/>
    <n v="3633.85"/>
    <n v="0.08"/>
    <n v="3343.14"/>
    <n v="2501.91"/>
    <n v="841.23"/>
    <s v="Cash"/>
    <s v="Karan"/>
    <s v="Returning"/>
    <n v="4"/>
  </r>
  <r>
    <s v="T0235"/>
    <d v="2025-04-21T00:00:00"/>
    <s v="11:00"/>
    <s v="C036"/>
    <s v="Rohan Shah"/>
    <s v="Male"/>
    <n v="49"/>
    <x v="2"/>
    <s v="Hyderabad"/>
    <s v="Fashion"/>
    <x v="7"/>
    <n v="1"/>
    <n v="1525.48"/>
    <n v="0.1"/>
    <n v="1372.93"/>
    <n v="960.5"/>
    <n v="412.43"/>
    <s v="Cash"/>
    <s v="Karan"/>
    <s v="Returning"/>
    <n v="5"/>
  </r>
  <r>
    <s v="T0236"/>
    <d v="2025-07-24T00:00:00"/>
    <s v="20:45"/>
    <s v="C034"/>
    <s v="Krish Shah"/>
    <s v="Male"/>
    <n v="56"/>
    <x v="2"/>
    <s v="Chennai"/>
    <s v="Fashion"/>
    <x v="7"/>
    <n v="2"/>
    <n v="1617.65"/>
    <n v="0.1"/>
    <n v="2911.77"/>
    <n v="2114.37"/>
    <n v="797.4"/>
    <s v="Cash"/>
    <s v="Neha"/>
    <s v="Returning"/>
    <n v="4"/>
  </r>
  <r>
    <s v="T0237"/>
    <d v="2025-08-21T00:00:00"/>
    <s v="09:15"/>
    <s v="C022"/>
    <s v="Mahi Patel"/>
    <s v="Female"/>
    <n v="41"/>
    <x v="2"/>
    <s v="Chennai"/>
    <s v="Beauty"/>
    <x v="12"/>
    <n v="2"/>
    <n v="1276.05"/>
    <n v="0"/>
    <n v="2552.1"/>
    <n v="1981.1"/>
    <n v="571"/>
    <s v="Net Banking"/>
    <s v="Karan"/>
    <s v="New"/>
    <n v="5"/>
  </r>
  <r>
    <s v="T0238"/>
    <d v="2025-03-09T00:00:00"/>
    <s v="20:15"/>
    <s v="C040"/>
    <s v="Dev Shah"/>
    <s v="Female"/>
    <n v="39"/>
    <x v="1"/>
    <s v="Chandigarh"/>
    <s v="Electronics"/>
    <x v="11"/>
    <n v="4"/>
    <n v="53568.59"/>
    <n v="0.15"/>
    <n v="182133.21"/>
    <n v="130042.68"/>
    <n v="52090.53"/>
    <s v="UPI"/>
    <s v="Riya"/>
    <s v="New"/>
    <n v="3"/>
  </r>
  <r>
    <s v="T0239"/>
    <d v="2025-03-25T00:00:00"/>
    <s v="12:00"/>
    <s v="C005"/>
    <s v="Arjun Patel"/>
    <s v="Female"/>
    <n v="41"/>
    <x v="1"/>
    <s v="Jaipur"/>
    <s v="Home"/>
    <x v="5"/>
    <n v="1"/>
    <n v="6976.25"/>
    <n v="0.05"/>
    <n v="6627.44"/>
    <n v="5117.83"/>
    <n v="1509.61"/>
    <s v="Net Banking"/>
    <s v="Neha"/>
    <s v="Returning"/>
    <n v="3"/>
  </r>
  <r>
    <s v="T0240"/>
    <d v="2025-03-03T00:00:00"/>
    <s v="14:40"/>
    <s v="C038"/>
    <s v="Dhruv Shah"/>
    <s v="Male"/>
    <n v="56"/>
    <x v="0"/>
    <s v="Mumbai"/>
    <s v="Home"/>
    <x v="5"/>
    <n v="5"/>
    <n v="6456.94"/>
    <n v="0.05"/>
    <n v="30670.46"/>
    <n v="20032.41"/>
    <n v="10638.05"/>
    <s v="Net Banking"/>
    <s v="Pooja"/>
    <s v="VIP"/>
    <n v="5"/>
  </r>
  <r>
    <s v="T0241"/>
    <d v="2025-08-28T00:00:00"/>
    <s v="19:30"/>
    <s v="C017"/>
    <s v="Diya Patel"/>
    <s v="Female"/>
    <n v="59"/>
    <x v="2"/>
    <s v="Chennai"/>
    <s v="Fashion"/>
    <x v="0"/>
    <n v="4"/>
    <n v="2871.28"/>
    <n v="0"/>
    <n v="11485.12"/>
    <n v="7573.12"/>
    <n v="3912"/>
    <s v="Debit Card"/>
    <s v="Pooja"/>
    <s v="VIP"/>
    <n v="5"/>
  </r>
  <r>
    <s v="T0242"/>
    <d v="2025-11-28T00:00:00"/>
    <s v="19:30"/>
    <s v="C026"/>
    <s v="Nisha Patel"/>
    <s v="Female"/>
    <n v="34"/>
    <x v="1"/>
    <s v="Chandigarh"/>
    <s v="Home"/>
    <x v="14"/>
    <n v="2"/>
    <n v="9692.9"/>
    <n v="0.08"/>
    <n v="17834.939999999999"/>
    <n v="14016.09"/>
    <n v="3818.85"/>
    <s v="Net Banking"/>
    <s v="Karan"/>
    <s v="Returning"/>
    <n v="5"/>
  </r>
  <r>
    <s v="T0243"/>
    <d v="2025-09-02T00:00:00"/>
    <s v="10:10"/>
    <s v="C043"/>
    <s v="Aryan Shah"/>
    <s v="Male"/>
    <n v="45"/>
    <x v="0"/>
    <s v="Vadodara"/>
    <s v="Beauty"/>
    <x v="18"/>
    <n v="2"/>
    <n v="448.34"/>
    <n v="0.08"/>
    <n v="824.95"/>
    <n v="552.28"/>
    <n v="272.67"/>
    <s v="UPI"/>
    <s v="Karan"/>
    <s v="Returning"/>
    <n v="4"/>
  </r>
  <r>
    <s v="T0244"/>
    <d v="2025-08-30T00:00:00"/>
    <s v="14:30"/>
    <s v="C024"/>
    <s v="Khushi Patel"/>
    <s v="Male"/>
    <n v="42"/>
    <x v="0"/>
    <s v="Surat"/>
    <s v="Fashion"/>
    <x v="6"/>
    <n v="5"/>
    <n v="829.3"/>
    <n v="0.1"/>
    <n v="3731.85"/>
    <n v="2595.12"/>
    <n v="1136.73"/>
    <s v="Cash"/>
    <s v="Neha"/>
    <s v="Returning"/>
    <n v="3"/>
  </r>
  <r>
    <s v="T0245"/>
    <d v="2025-09-09T00:00:00"/>
    <s v="16:10"/>
    <s v="C042"/>
    <s v="Kabir Shah"/>
    <s v="Female"/>
    <n v="37"/>
    <x v="0"/>
    <s v="Vadodara"/>
    <s v="Fashion"/>
    <x v="7"/>
    <n v="3"/>
    <n v="1440.92"/>
    <n v="0.05"/>
    <n v="4106.62"/>
    <n v="2570.06"/>
    <n v="1536.56"/>
    <s v="Debit Card"/>
    <s v="Pooja"/>
    <s v="Returning"/>
    <n v="3"/>
  </r>
  <r>
    <s v="T0246"/>
    <d v="2025-09-05T00:00:00"/>
    <s v="15:15"/>
    <s v="C009"/>
    <s v="Yash Patel"/>
    <s v="Female"/>
    <n v="32"/>
    <x v="2"/>
    <s v="Kochi"/>
    <s v="Grocery"/>
    <x v="2"/>
    <n v="1"/>
    <n v="468.79"/>
    <n v="0"/>
    <n v="468.79"/>
    <n v="350.23"/>
    <n v="118.56"/>
    <s v="Cash"/>
    <s v="Vivek"/>
    <s v="New"/>
    <n v="3"/>
  </r>
  <r>
    <s v="T0247"/>
    <d v="2025-04-01T00:00:00"/>
    <s v="18:40"/>
    <s v="C039"/>
    <s v="Yash Shah"/>
    <s v="Male"/>
    <n v="53"/>
    <x v="3"/>
    <s v="Kolkata"/>
    <s v="Fashion"/>
    <x v="6"/>
    <n v="4"/>
    <n v="883.63"/>
    <n v="0.1"/>
    <n v="3181.07"/>
    <n v="2200.4"/>
    <n v="980.67"/>
    <s v="Cash"/>
    <s v="Amit"/>
    <s v="New"/>
    <n v="4"/>
  </r>
  <r>
    <s v="T0248"/>
    <d v="2025-04-26T00:00:00"/>
    <s v="15:10"/>
    <s v="C045"/>
    <s v="Manav Shah"/>
    <s v="Male"/>
    <n v="30"/>
    <x v="3"/>
    <s v="Kolkata"/>
    <s v="Grocery"/>
    <x v="2"/>
    <n v="1"/>
    <n v="430.47"/>
    <n v="0"/>
    <n v="430.47"/>
    <n v="281.98"/>
    <n v="148.49"/>
    <s v="Credit Card"/>
    <s v="Vivek"/>
    <s v="New"/>
    <n v="4"/>
  </r>
  <r>
    <s v="T0249"/>
    <d v="2025-11-08T00:00:00"/>
    <s v="11:30"/>
    <s v="C011"/>
    <s v="Ishaan Patel"/>
    <s v="Male"/>
    <n v="26"/>
    <x v="3"/>
    <s v="Kolkata"/>
    <s v="Fashion"/>
    <x v="8"/>
    <n v="3"/>
    <n v="1737.36"/>
    <n v="0.08"/>
    <n v="4795.1099999999997"/>
    <n v="3385.45"/>
    <n v="1409.66"/>
    <s v="Credit Card"/>
    <s v="Vivek"/>
    <s v="Returning"/>
    <n v="5"/>
  </r>
  <r>
    <s v="T0250"/>
    <d v="2025-03-25T00:00:00"/>
    <s v="10:20"/>
    <s v="C042"/>
    <s v="Kabir Shah"/>
    <s v="Female"/>
    <n v="37"/>
    <x v="0"/>
    <s v="Vadodara"/>
    <s v="Electronics"/>
    <x v="15"/>
    <n v="1"/>
    <n v="4836.5600000000004"/>
    <n v="0.15"/>
    <n v="4111.08"/>
    <n v="2719.13"/>
    <n v="1391.95"/>
    <s v="UPI"/>
    <s v="Karan"/>
    <s v="New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8564D3-919B-418C-83B7-F7889167C25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2">
  <location ref="A4:C39" firstHeaderRow="0" firstDataRow="1" firstDataCol="1"/>
  <pivotFields count="21">
    <pivotField showAll="0"/>
    <pivotField numFmtId="164" showAll="0"/>
    <pivotField showAll="0"/>
    <pivotField showAll="0"/>
    <pivotField showAll="0"/>
    <pivotField showAll="0"/>
    <pivotField showAll="0"/>
    <pivotField axis="axisRow" showAll="0">
      <items count="5">
        <item h="1" x="3"/>
        <item x="1"/>
        <item h="1" x="2"/>
        <item x="0"/>
        <item t="default"/>
      </items>
    </pivotField>
    <pivotField showAll="0"/>
    <pivotField showAll="0"/>
    <pivotField axis="axisRow" showAll="0">
      <items count="21">
        <item x="5"/>
        <item x="7"/>
        <item x="2"/>
        <item x="9"/>
        <item x="18"/>
        <item x="10"/>
        <item x="13"/>
        <item x="8"/>
        <item x="11"/>
        <item x="1"/>
        <item x="19"/>
        <item x="4"/>
        <item x="17"/>
        <item x="12"/>
        <item x="3"/>
        <item x="15"/>
        <item x="0"/>
        <item x="16"/>
        <item x="6"/>
        <item x="14"/>
        <item t="default"/>
      </items>
    </pivotField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2">
    <field x="7"/>
    <field x="10"/>
  </rowFields>
  <rowItems count="35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2"/>
    </i>
    <i r="1">
      <x v="14"/>
    </i>
    <i r="1">
      <x v="15"/>
    </i>
    <i r="1">
      <x v="18"/>
    </i>
    <i r="1">
      <x v="19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4" baseField="0" baseItem="0"/>
    <dataField name="Sum of Quantity" fld="11" baseField="0" baseItem="0"/>
  </dataFields>
  <formats count="9">
    <format dxfId="23">
      <pivotArea collapsedLevelsAreSubtotals="1" fieldPosition="0">
        <references count="1">
          <reference field="7" count="1">
            <x v="1"/>
          </reference>
        </references>
      </pivotArea>
    </format>
    <format dxfId="22">
      <pivotArea dataOnly="0" labelOnly="1" fieldPosition="0">
        <references count="1">
          <reference field="7" count="1">
            <x v="1"/>
          </reference>
        </references>
      </pivotArea>
    </format>
    <format dxfId="21">
      <pivotArea collapsedLevelsAreSubtotals="1" fieldPosition="0">
        <references count="1">
          <reference field="7" count="1">
            <x v="2"/>
          </reference>
        </references>
      </pivotArea>
    </format>
    <format dxfId="20">
      <pivotArea dataOnly="0" labelOnly="1" fieldPosition="0">
        <references count="1">
          <reference field="7" count="1">
            <x v="2"/>
          </reference>
        </references>
      </pivotArea>
    </format>
    <format dxfId="19">
      <pivotArea collapsedLevelsAreSubtotals="1" fieldPosition="0">
        <references count="1">
          <reference field="7" count="1">
            <x v="3"/>
          </reference>
        </references>
      </pivotArea>
    </format>
    <format dxfId="18">
      <pivotArea dataOnly="0" labelOnly="1" fieldPosition="0">
        <references count="1">
          <reference field="7" count="1">
            <x v="3"/>
          </reference>
        </references>
      </pivotArea>
    </format>
    <format dxfId="17">
      <pivotArea field="10" dataOnly="0" grandRow="1" axis="axisRow" fieldPosition="1">
        <references count="1">
          <reference field="10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16">
      <pivotArea grandRow="1" outline="0" collapsedLevelsAreSubtotals="1" fieldPosition="0"/>
    </format>
    <format dxfId="15">
      <pivotArea dataOnly="0" labelOnly="1" grandRow="1" outline="0" fieldPosition="0"/>
    </format>
  </formats>
  <chartFormats count="14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0" count="1" selected="0">
            <x v="0"/>
          </reference>
        </references>
      </pivotArea>
    </chartFormat>
    <chartFormat chart="35" format="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0" count="1" selected="0">
            <x v="1"/>
          </reference>
        </references>
      </pivotArea>
    </chartFormat>
    <chartFormat chart="35" format="5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0" count="1" selected="0">
            <x v="2"/>
          </reference>
        </references>
      </pivotArea>
    </chartFormat>
    <chartFormat chart="35" format="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0" count="1" selected="0">
            <x v="3"/>
          </reference>
        </references>
      </pivotArea>
    </chartFormat>
    <chartFormat chart="35" format="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0" count="1" selected="0">
            <x v="4"/>
          </reference>
        </references>
      </pivotArea>
    </chartFormat>
    <chartFormat chart="35" format="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0" count="1" selected="0">
            <x v="5"/>
          </reference>
        </references>
      </pivotArea>
    </chartFormat>
    <chartFormat chart="35" format="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0" count="1" selected="0">
            <x v="7"/>
          </reference>
        </references>
      </pivotArea>
    </chartFormat>
    <chartFormat chart="35" format="1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0" count="1" selected="0">
            <x v="8"/>
          </reference>
        </references>
      </pivotArea>
    </chartFormat>
    <chartFormat chart="35" format="1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0" count="1" selected="0">
            <x v="9"/>
          </reference>
        </references>
      </pivotArea>
    </chartFormat>
    <chartFormat chart="35" format="1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0" count="1" selected="0">
            <x v="12"/>
          </reference>
        </references>
      </pivotArea>
    </chartFormat>
    <chartFormat chart="35" format="1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0" count="1" selected="0">
            <x v="14"/>
          </reference>
        </references>
      </pivotArea>
    </chartFormat>
    <chartFormat chart="35" format="1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0" count="1" selected="0">
            <x v="15"/>
          </reference>
        </references>
      </pivotArea>
    </chartFormat>
    <chartFormat chart="35" format="15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0" count="1" selected="0">
            <x v="18"/>
          </reference>
        </references>
      </pivotArea>
    </chartFormat>
    <chartFormat chart="35" format="1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0" count="1" selected="0">
            <x v="19"/>
          </reference>
        </references>
      </pivotArea>
    </chartFormat>
    <chartFormat chart="35" format="1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10" count="1" selected="0">
            <x v="0"/>
          </reference>
        </references>
      </pivotArea>
    </chartFormat>
    <chartFormat chart="35" format="1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10" count="1" selected="0">
            <x v="1"/>
          </reference>
        </references>
      </pivotArea>
    </chartFormat>
    <chartFormat chart="35" format="1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10" count="1" selected="0">
            <x v="2"/>
          </reference>
        </references>
      </pivotArea>
    </chartFormat>
    <chartFormat chart="35" format="2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10" count="1" selected="0">
            <x v="3"/>
          </reference>
        </references>
      </pivotArea>
    </chartFormat>
    <chartFormat chart="35" format="2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10" count="1" selected="0">
            <x v="4"/>
          </reference>
        </references>
      </pivotArea>
    </chartFormat>
    <chartFormat chart="35" format="22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10" count="1" selected="0">
            <x v="5"/>
          </reference>
        </references>
      </pivotArea>
    </chartFormat>
    <chartFormat chart="35" format="2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10" count="1" selected="0">
            <x v="6"/>
          </reference>
        </references>
      </pivotArea>
    </chartFormat>
    <chartFormat chart="35" format="2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10" count="1" selected="0">
            <x v="7"/>
          </reference>
        </references>
      </pivotArea>
    </chartFormat>
    <chartFormat chart="35" format="2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10" count="1" selected="0">
            <x v="8"/>
          </reference>
        </references>
      </pivotArea>
    </chartFormat>
    <chartFormat chart="35" format="2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10" count="1" selected="0">
            <x v="11"/>
          </reference>
        </references>
      </pivotArea>
    </chartFormat>
    <chartFormat chart="35" format="2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10" count="1" selected="0">
            <x v="12"/>
          </reference>
        </references>
      </pivotArea>
    </chartFormat>
    <chartFormat chart="35" format="2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10" count="1" selected="0">
            <x v="13"/>
          </reference>
        </references>
      </pivotArea>
    </chartFormat>
    <chartFormat chart="35" format="2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10" count="1" selected="0">
            <x v="14"/>
          </reference>
        </references>
      </pivotArea>
    </chartFormat>
    <chartFormat chart="35" format="3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10" count="1" selected="0">
            <x v="15"/>
          </reference>
        </references>
      </pivotArea>
    </chartFormat>
    <chartFormat chart="35" format="3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10" count="1" selected="0">
            <x v="16"/>
          </reference>
        </references>
      </pivotArea>
    </chartFormat>
    <chartFormat chart="35" format="32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10" count="1" selected="0">
            <x v="17"/>
          </reference>
        </references>
      </pivotArea>
    </chartFormat>
    <chartFormat chart="35" format="3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10" count="1" selected="0">
            <x v="18"/>
          </reference>
        </references>
      </pivotArea>
    </chartFormat>
    <chartFormat chart="35" format="3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10" count="1" selected="0">
            <x v="19"/>
          </reference>
        </references>
      </pivotArea>
    </chartFormat>
    <chartFormat chart="35" format="3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5" format="36">
      <pivotArea type="data" outline="0" fieldPosition="0">
        <references count="3">
          <reference field="4294967294" count="1" selected="0">
            <x v="1"/>
          </reference>
          <reference field="7" count="1" selected="0">
            <x v="1"/>
          </reference>
          <reference field="10" count="1" selected="0">
            <x v="0"/>
          </reference>
        </references>
      </pivotArea>
    </chartFormat>
    <chartFormat chart="35" format="37">
      <pivotArea type="data" outline="0" fieldPosition="0">
        <references count="3">
          <reference field="4294967294" count="1" selected="0">
            <x v="1"/>
          </reference>
          <reference field="7" count="1" selected="0">
            <x v="1"/>
          </reference>
          <reference field="10" count="1" selected="0">
            <x v="1"/>
          </reference>
        </references>
      </pivotArea>
    </chartFormat>
    <chartFormat chart="35" format="38">
      <pivotArea type="data" outline="0" fieldPosition="0">
        <references count="3">
          <reference field="4294967294" count="1" selected="0">
            <x v="1"/>
          </reference>
          <reference field="7" count="1" selected="0">
            <x v="1"/>
          </reference>
          <reference field="10" count="1" selected="0">
            <x v="2"/>
          </reference>
        </references>
      </pivotArea>
    </chartFormat>
    <chartFormat chart="35" format="39">
      <pivotArea type="data" outline="0" fieldPosition="0">
        <references count="3">
          <reference field="4294967294" count="1" selected="0">
            <x v="1"/>
          </reference>
          <reference field="7" count="1" selected="0">
            <x v="1"/>
          </reference>
          <reference field="10" count="1" selected="0">
            <x v="3"/>
          </reference>
        </references>
      </pivotArea>
    </chartFormat>
    <chartFormat chart="35" format="40">
      <pivotArea type="data" outline="0" fieldPosition="0">
        <references count="3">
          <reference field="4294967294" count="1" selected="0">
            <x v="1"/>
          </reference>
          <reference field="7" count="1" selected="0">
            <x v="1"/>
          </reference>
          <reference field="10" count="1" selected="0">
            <x v="4"/>
          </reference>
        </references>
      </pivotArea>
    </chartFormat>
    <chartFormat chart="35" format="41">
      <pivotArea type="data" outline="0" fieldPosition="0">
        <references count="3">
          <reference field="4294967294" count="1" selected="0">
            <x v="1"/>
          </reference>
          <reference field="7" count="1" selected="0">
            <x v="1"/>
          </reference>
          <reference field="10" count="1" selected="0">
            <x v="5"/>
          </reference>
        </references>
      </pivotArea>
    </chartFormat>
    <chartFormat chart="35" format="42">
      <pivotArea type="data" outline="0" fieldPosition="0">
        <references count="3">
          <reference field="4294967294" count="1" selected="0">
            <x v="1"/>
          </reference>
          <reference field="7" count="1" selected="0">
            <x v="1"/>
          </reference>
          <reference field="10" count="1" selected="0">
            <x v="7"/>
          </reference>
        </references>
      </pivotArea>
    </chartFormat>
    <chartFormat chart="35" format="43">
      <pivotArea type="data" outline="0" fieldPosition="0">
        <references count="3">
          <reference field="4294967294" count="1" selected="0">
            <x v="1"/>
          </reference>
          <reference field="7" count="1" selected="0">
            <x v="1"/>
          </reference>
          <reference field="10" count="1" selected="0">
            <x v="8"/>
          </reference>
        </references>
      </pivotArea>
    </chartFormat>
    <chartFormat chart="35" format="44">
      <pivotArea type="data" outline="0" fieldPosition="0">
        <references count="3">
          <reference field="4294967294" count="1" selected="0">
            <x v="1"/>
          </reference>
          <reference field="7" count="1" selected="0">
            <x v="1"/>
          </reference>
          <reference field="10" count="1" selected="0">
            <x v="9"/>
          </reference>
        </references>
      </pivotArea>
    </chartFormat>
    <chartFormat chart="35" format="45">
      <pivotArea type="data" outline="0" fieldPosition="0">
        <references count="3">
          <reference field="4294967294" count="1" selected="0">
            <x v="1"/>
          </reference>
          <reference field="7" count="1" selected="0">
            <x v="1"/>
          </reference>
          <reference field="10" count="1" selected="0">
            <x v="12"/>
          </reference>
        </references>
      </pivotArea>
    </chartFormat>
    <chartFormat chart="35" format="46">
      <pivotArea type="data" outline="0" fieldPosition="0">
        <references count="3">
          <reference field="4294967294" count="1" selected="0">
            <x v="1"/>
          </reference>
          <reference field="7" count="1" selected="0">
            <x v="1"/>
          </reference>
          <reference field="10" count="1" selected="0">
            <x v="14"/>
          </reference>
        </references>
      </pivotArea>
    </chartFormat>
    <chartFormat chart="35" format="47">
      <pivotArea type="data" outline="0" fieldPosition="0">
        <references count="3">
          <reference field="4294967294" count="1" selected="0">
            <x v="1"/>
          </reference>
          <reference field="7" count="1" selected="0">
            <x v="1"/>
          </reference>
          <reference field="10" count="1" selected="0">
            <x v="15"/>
          </reference>
        </references>
      </pivotArea>
    </chartFormat>
    <chartFormat chart="35" format="48">
      <pivotArea type="data" outline="0" fieldPosition="0">
        <references count="3">
          <reference field="4294967294" count="1" selected="0">
            <x v="1"/>
          </reference>
          <reference field="7" count="1" selected="0">
            <x v="1"/>
          </reference>
          <reference field="10" count="1" selected="0">
            <x v="18"/>
          </reference>
        </references>
      </pivotArea>
    </chartFormat>
    <chartFormat chart="35" format="49">
      <pivotArea type="data" outline="0" fieldPosition="0">
        <references count="3">
          <reference field="4294967294" count="1" selected="0">
            <x v="1"/>
          </reference>
          <reference field="7" count="1" selected="0">
            <x v="1"/>
          </reference>
          <reference field="10" count="1" selected="0">
            <x v="19"/>
          </reference>
        </references>
      </pivotArea>
    </chartFormat>
    <chartFormat chart="35" format="50">
      <pivotArea type="data" outline="0" fieldPosition="0">
        <references count="3">
          <reference field="4294967294" count="1" selected="0">
            <x v="1"/>
          </reference>
          <reference field="7" count="1" selected="0">
            <x v="3"/>
          </reference>
          <reference field="10" count="1" selected="0">
            <x v="0"/>
          </reference>
        </references>
      </pivotArea>
    </chartFormat>
    <chartFormat chart="35" format="51">
      <pivotArea type="data" outline="0" fieldPosition="0">
        <references count="3">
          <reference field="4294967294" count="1" selected="0">
            <x v="1"/>
          </reference>
          <reference field="7" count="1" selected="0">
            <x v="3"/>
          </reference>
          <reference field="10" count="1" selected="0">
            <x v="1"/>
          </reference>
        </references>
      </pivotArea>
    </chartFormat>
    <chartFormat chart="35" format="52">
      <pivotArea type="data" outline="0" fieldPosition="0">
        <references count="3">
          <reference field="4294967294" count="1" selected="0">
            <x v="1"/>
          </reference>
          <reference field="7" count="1" selected="0">
            <x v="3"/>
          </reference>
          <reference field="10" count="1" selected="0">
            <x v="2"/>
          </reference>
        </references>
      </pivotArea>
    </chartFormat>
    <chartFormat chart="35" format="53">
      <pivotArea type="data" outline="0" fieldPosition="0">
        <references count="3">
          <reference field="4294967294" count="1" selected="0">
            <x v="1"/>
          </reference>
          <reference field="7" count="1" selected="0">
            <x v="3"/>
          </reference>
          <reference field="10" count="1" selected="0">
            <x v="3"/>
          </reference>
        </references>
      </pivotArea>
    </chartFormat>
    <chartFormat chart="35" format="54">
      <pivotArea type="data" outline="0" fieldPosition="0">
        <references count="3">
          <reference field="4294967294" count="1" selected="0">
            <x v="1"/>
          </reference>
          <reference field="7" count="1" selected="0">
            <x v="3"/>
          </reference>
          <reference field="10" count="1" selected="0">
            <x v="4"/>
          </reference>
        </references>
      </pivotArea>
    </chartFormat>
    <chartFormat chart="35" format="55">
      <pivotArea type="data" outline="0" fieldPosition="0">
        <references count="3">
          <reference field="4294967294" count="1" selected="0">
            <x v="1"/>
          </reference>
          <reference field="7" count="1" selected="0">
            <x v="3"/>
          </reference>
          <reference field="10" count="1" selected="0">
            <x v="5"/>
          </reference>
        </references>
      </pivotArea>
    </chartFormat>
    <chartFormat chart="35" format="56">
      <pivotArea type="data" outline="0" fieldPosition="0">
        <references count="3">
          <reference field="4294967294" count="1" selected="0">
            <x v="1"/>
          </reference>
          <reference field="7" count="1" selected="0">
            <x v="3"/>
          </reference>
          <reference field="10" count="1" selected="0">
            <x v="6"/>
          </reference>
        </references>
      </pivotArea>
    </chartFormat>
    <chartFormat chart="35" format="57">
      <pivotArea type="data" outline="0" fieldPosition="0">
        <references count="3">
          <reference field="4294967294" count="1" selected="0">
            <x v="1"/>
          </reference>
          <reference field="7" count="1" selected="0">
            <x v="3"/>
          </reference>
          <reference field="10" count="1" selected="0">
            <x v="7"/>
          </reference>
        </references>
      </pivotArea>
    </chartFormat>
    <chartFormat chart="35" format="58">
      <pivotArea type="data" outline="0" fieldPosition="0">
        <references count="3">
          <reference field="4294967294" count="1" selected="0">
            <x v="1"/>
          </reference>
          <reference field="7" count="1" selected="0">
            <x v="3"/>
          </reference>
          <reference field="10" count="1" selected="0">
            <x v="8"/>
          </reference>
        </references>
      </pivotArea>
    </chartFormat>
    <chartFormat chart="35" format="59">
      <pivotArea type="data" outline="0" fieldPosition="0">
        <references count="3">
          <reference field="4294967294" count="1" selected="0">
            <x v="1"/>
          </reference>
          <reference field="7" count="1" selected="0">
            <x v="3"/>
          </reference>
          <reference field="10" count="1" selected="0">
            <x v="11"/>
          </reference>
        </references>
      </pivotArea>
    </chartFormat>
    <chartFormat chart="35" format="60">
      <pivotArea type="data" outline="0" fieldPosition="0">
        <references count="3">
          <reference field="4294967294" count="1" selected="0">
            <x v="1"/>
          </reference>
          <reference field="7" count="1" selected="0">
            <x v="3"/>
          </reference>
          <reference field="10" count="1" selected="0">
            <x v="12"/>
          </reference>
        </references>
      </pivotArea>
    </chartFormat>
    <chartFormat chart="35" format="61">
      <pivotArea type="data" outline="0" fieldPosition="0">
        <references count="3">
          <reference field="4294967294" count="1" selected="0">
            <x v="1"/>
          </reference>
          <reference field="7" count="1" selected="0">
            <x v="3"/>
          </reference>
          <reference field="10" count="1" selected="0">
            <x v="13"/>
          </reference>
        </references>
      </pivotArea>
    </chartFormat>
    <chartFormat chart="35" format="62">
      <pivotArea type="data" outline="0" fieldPosition="0">
        <references count="3">
          <reference field="4294967294" count="1" selected="0">
            <x v="1"/>
          </reference>
          <reference field="7" count="1" selected="0">
            <x v="3"/>
          </reference>
          <reference field="10" count="1" selected="0">
            <x v="14"/>
          </reference>
        </references>
      </pivotArea>
    </chartFormat>
    <chartFormat chart="35" format="63">
      <pivotArea type="data" outline="0" fieldPosition="0">
        <references count="3">
          <reference field="4294967294" count="1" selected="0">
            <x v="1"/>
          </reference>
          <reference field="7" count="1" selected="0">
            <x v="3"/>
          </reference>
          <reference field="10" count="1" selected="0">
            <x v="15"/>
          </reference>
        </references>
      </pivotArea>
    </chartFormat>
    <chartFormat chart="35" format="64">
      <pivotArea type="data" outline="0" fieldPosition="0">
        <references count="3">
          <reference field="4294967294" count="1" selected="0">
            <x v="1"/>
          </reference>
          <reference field="7" count="1" selected="0">
            <x v="3"/>
          </reference>
          <reference field="10" count="1" selected="0">
            <x v="16"/>
          </reference>
        </references>
      </pivotArea>
    </chartFormat>
    <chartFormat chart="35" format="65">
      <pivotArea type="data" outline="0" fieldPosition="0">
        <references count="3">
          <reference field="4294967294" count="1" selected="0">
            <x v="1"/>
          </reference>
          <reference field="7" count="1" selected="0">
            <x v="3"/>
          </reference>
          <reference field="10" count="1" selected="0">
            <x v="17"/>
          </reference>
        </references>
      </pivotArea>
    </chartFormat>
    <chartFormat chart="35" format="66">
      <pivotArea type="data" outline="0" fieldPosition="0">
        <references count="3">
          <reference field="4294967294" count="1" selected="0">
            <x v="1"/>
          </reference>
          <reference field="7" count="1" selected="0">
            <x v="3"/>
          </reference>
          <reference field="10" count="1" selected="0">
            <x v="18"/>
          </reference>
        </references>
      </pivotArea>
    </chartFormat>
    <chartFormat chart="35" format="67">
      <pivotArea type="data" outline="0" fieldPosition="0">
        <references count="3">
          <reference field="4294967294" count="1" selected="0">
            <x v="1"/>
          </reference>
          <reference field="7" count="1" selected="0">
            <x v="3"/>
          </reference>
          <reference field="10" count="1" selected="0">
            <x v="19"/>
          </reference>
        </references>
      </pivotArea>
    </chartFormat>
    <chartFormat chart="37" format="6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6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0" count="1" selected="0">
            <x v="0"/>
          </reference>
        </references>
      </pivotArea>
    </chartFormat>
    <chartFormat chart="37" format="7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0" count="1" selected="0">
            <x v="1"/>
          </reference>
        </references>
      </pivotArea>
    </chartFormat>
    <chartFormat chart="37" format="7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0" count="1" selected="0">
            <x v="2"/>
          </reference>
        </references>
      </pivotArea>
    </chartFormat>
    <chartFormat chart="37" format="7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0" count="1" selected="0">
            <x v="3"/>
          </reference>
        </references>
      </pivotArea>
    </chartFormat>
    <chartFormat chart="37" format="7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0" count="1" selected="0">
            <x v="4"/>
          </reference>
        </references>
      </pivotArea>
    </chartFormat>
    <chartFormat chart="37" format="7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0" count="1" selected="0">
            <x v="5"/>
          </reference>
        </references>
      </pivotArea>
    </chartFormat>
    <chartFormat chart="37" format="75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0" count="1" selected="0">
            <x v="7"/>
          </reference>
        </references>
      </pivotArea>
    </chartFormat>
    <chartFormat chart="37" format="7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0" count="1" selected="0">
            <x v="8"/>
          </reference>
        </references>
      </pivotArea>
    </chartFormat>
    <chartFormat chart="37" format="7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0" count="1" selected="0">
            <x v="9"/>
          </reference>
        </references>
      </pivotArea>
    </chartFormat>
    <chartFormat chart="37" format="7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0" count="1" selected="0">
            <x v="12"/>
          </reference>
        </references>
      </pivotArea>
    </chartFormat>
    <chartFormat chart="37" format="7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0" count="1" selected="0">
            <x v="14"/>
          </reference>
        </references>
      </pivotArea>
    </chartFormat>
    <chartFormat chart="37" format="8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0" count="1" selected="0">
            <x v="15"/>
          </reference>
        </references>
      </pivotArea>
    </chartFormat>
    <chartFormat chart="37" format="8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0" count="1" selected="0">
            <x v="18"/>
          </reference>
        </references>
      </pivotArea>
    </chartFormat>
    <chartFormat chart="37" format="8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0" count="1" selected="0">
            <x v="19"/>
          </reference>
        </references>
      </pivotArea>
    </chartFormat>
    <chartFormat chart="37" format="8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10" count="1" selected="0">
            <x v="0"/>
          </reference>
        </references>
      </pivotArea>
    </chartFormat>
    <chartFormat chart="37" format="8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10" count="1" selected="0">
            <x v="1"/>
          </reference>
        </references>
      </pivotArea>
    </chartFormat>
    <chartFormat chart="37" format="8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10" count="1" selected="0">
            <x v="2"/>
          </reference>
        </references>
      </pivotArea>
    </chartFormat>
    <chartFormat chart="37" format="8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10" count="1" selected="0">
            <x v="3"/>
          </reference>
        </references>
      </pivotArea>
    </chartFormat>
    <chartFormat chart="37" format="8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10" count="1" selected="0">
            <x v="4"/>
          </reference>
        </references>
      </pivotArea>
    </chartFormat>
    <chartFormat chart="37" format="8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10" count="1" selected="0">
            <x v="5"/>
          </reference>
        </references>
      </pivotArea>
    </chartFormat>
    <chartFormat chart="37" format="8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10" count="1" selected="0">
            <x v="6"/>
          </reference>
        </references>
      </pivotArea>
    </chartFormat>
    <chartFormat chart="37" format="9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10" count="1" selected="0">
            <x v="7"/>
          </reference>
        </references>
      </pivotArea>
    </chartFormat>
    <chartFormat chart="37" format="9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10" count="1" selected="0">
            <x v="8"/>
          </reference>
        </references>
      </pivotArea>
    </chartFormat>
    <chartFormat chart="37" format="92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10" count="1" selected="0">
            <x v="11"/>
          </reference>
        </references>
      </pivotArea>
    </chartFormat>
    <chartFormat chart="37" format="9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10" count="1" selected="0">
            <x v="12"/>
          </reference>
        </references>
      </pivotArea>
    </chartFormat>
    <chartFormat chart="37" format="9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10" count="1" selected="0">
            <x v="13"/>
          </reference>
        </references>
      </pivotArea>
    </chartFormat>
    <chartFormat chart="37" format="9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10" count="1" selected="0">
            <x v="14"/>
          </reference>
        </references>
      </pivotArea>
    </chartFormat>
    <chartFormat chart="37" format="9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10" count="1" selected="0">
            <x v="15"/>
          </reference>
        </references>
      </pivotArea>
    </chartFormat>
    <chartFormat chart="37" format="9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10" count="1" selected="0">
            <x v="16"/>
          </reference>
        </references>
      </pivotArea>
    </chartFormat>
    <chartFormat chart="37" format="9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10" count="1" selected="0">
            <x v="17"/>
          </reference>
        </references>
      </pivotArea>
    </chartFormat>
    <chartFormat chart="37" format="9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10" count="1" selected="0">
            <x v="18"/>
          </reference>
        </references>
      </pivotArea>
    </chartFormat>
    <chartFormat chart="37" format="10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10" count="1" selected="0">
            <x v="19"/>
          </reference>
        </references>
      </pivotArea>
    </chartFormat>
    <chartFormat chart="37" format="10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7" format="102">
      <pivotArea type="data" outline="0" fieldPosition="0">
        <references count="3">
          <reference field="4294967294" count="1" selected="0">
            <x v="1"/>
          </reference>
          <reference field="7" count="1" selected="0">
            <x v="1"/>
          </reference>
          <reference field="10" count="1" selected="0">
            <x v="0"/>
          </reference>
        </references>
      </pivotArea>
    </chartFormat>
    <chartFormat chart="37" format="103">
      <pivotArea type="data" outline="0" fieldPosition="0">
        <references count="3">
          <reference field="4294967294" count="1" selected="0">
            <x v="1"/>
          </reference>
          <reference field="7" count="1" selected="0">
            <x v="1"/>
          </reference>
          <reference field="10" count="1" selected="0">
            <x v="1"/>
          </reference>
        </references>
      </pivotArea>
    </chartFormat>
    <chartFormat chart="37" format="104">
      <pivotArea type="data" outline="0" fieldPosition="0">
        <references count="3">
          <reference field="4294967294" count="1" selected="0">
            <x v="1"/>
          </reference>
          <reference field="7" count="1" selected="0">
            <x v="1"/>
          </reference>
          <reference field="10" count="1" selected="0">
            <x v="2"/>
          </reference>
        </references>
      </pivotArea>
    </chartFormat>
    <chartFormat chart="37" format="105">
      <pivotArea type="data" outline="0" fieldPosition="0">
        <references count="3">
          <reference field="4294967294" count="1" selected="0">
            <x v="1"/>
          </reference>
          <reference field="7" count="1" selected="0">
            <x v="1"/>
          </reference>
          <reference field="10" count="1" selected="0">
            <x v="3"/>
          </reference>
        </references>
      </pivotArea>
    </chartFormat>
    <chartFormat chart="37" format="106">
      <pivotArea type="data" outline="0" fieldPosition="0">
        <references count="3">
          <reference field="4294967294" count="1" selected="0">
            <x v="1"/>
          </reference>
          <reference field="7" count="1" selected="0">
            <x v="1"/>
          </reference>
          <reference field="10" count="1" selected="0">
            <x v="4"/>
          </reference>
        </references>
      </pivotArea>
    </chartFormat>
    <chartFormat chart="37" format="107">
      <pivotArea type="data" outline="0" fieldPosition="0">
        <references count="3">
          <reference field="4294967294" count="1" selected="0">
            <x v="1"/>
          </reference>
          <reference field="7" count="1" selected="0">
            <x v="1"/>
          </reference>
          <reference field="10" count="1" selected="0">
            <x v="5"/>
          </reference>
        </references>
      </pivotArea>
    </chartFormat>
    <chartFormat chart="37" format="108">
      <pivotArea type="data" outline="0" fieldPosition="0">
        <references count="3">
          <reference field="4294967294" count="1" selected="0">
            <x v="1"/>
          </reference>
          <reference field="7" count="1" selected="0">
            <x v="1"/>
          </reference>
          <reference field="10" count="1" selected="0">
            <x v="7"/>
          </reference>
        </references>
      </pivotArea>
    </chartFormat>
    <chartFormat chart="37" format="109">
      <pivotArea type="data" outline="0" fieldPosition="0">
        <references count="3">
          <reference field="4294967294" count="1" selected="0">
            <x v="1"/>
          </reference>
          <reference field="7" count="1" selected="0">
            <x v="1"/>
          </reference>
          <reference field="10" count="1" selected="0">
            <x v="8"/>
          </reference>
        </references>
      </pivotArea>
    </chartFormat>
    <chartFormat chart="37" format="110">
      <pivotArea type="data" outline="0" fieldPosition="0">
        <references count="3">
          <reference field="4294967294" count="1" selected="0">
            <x v="1"/>
          </reference>
          <reference field="7" count="1" selected="0">
            <x v="1"/>
          </reference>
          <reference field="10" count="1" selected="0">
            <x v="9"/>
          </reference>
        </references>
      </pivotArea>
    </chartFormat>
    <chartFormat chart="37" format="111">
      <pivotArea type="data" outline="0" fieldPosition="0">
        <references count="3">
          <reference field="4294967294" count="1" selected="0">
            <x v="1"/>
          </reference>
          <reference field="7" count="1" selected="0">
            <x v="1"/>
          </reference>
          <reference field="10" count="1" selected="0">
            <x v="12"/>
          </reference>
        </references>
      </pivotArea>
    </chartFormat>
    <chartFormat chart="37" format="112">
      <pivotArea type="data" outline="0" fieldPosition="0">
        <references count="3">
          <reference field="4294967294" count="1" selected="0">
            <x v="1"/>
          </reference>
          <reference field="7" count="1" selected="0">
            <x v="1"/>
          </reference>
          <reference field="10" count="1" selected="0">
            <x v="14"/>
          </reference>
        </references>
      </pivotArea>
    </chartFormat>
    <chartFormat chart="37" format="113">
      <pivotArea type="data" outline="0" fieldPosition="0">
        <references count="3">
          <reference field="4294967294" count="1" selected="0">
            <x v="1"/>
          </reference>
          <reference field="7" count="1" selected="0">
            <x v="1"/>
          </reference>
          <reference field="10" count="1" selected="0">
            <x v="15"/>
          </reference>
        </references>
      </pivotArea>
    </chartFormat>
    <chartFormat chart="37" format="114">
      <pivotArea type="data" outline="0" fieldPosition="0">
        <references count="3">
          <reference field="4294967294" count="1" selected="0">
            <x v="1"/>
          </reference>
          <reference field="7" count="1" selected="0">
            <x v="1"/>
          </reference>
          <reference field="10" count="1" selected="0">
            <x v="18"/>
          </reference>
        </references>
      </pivotArea>
    </chartFormat>
    <chartFormat chart="37" format="115">
      <pivotArea type="data" outline="0" fieldPosition="0">
        <references count="3">
          <reference field="4294967294" count="1" selected="0">
            <x v="1"/>
          </reference>
          <reference field="7" count="1" selected="0">
            <x v="1"/>
          </reference>
          <reference field="10" count="1" selected="0">
            <x v="19"/>
          </reference>
        </references>
      </pivotArea>
    </chartFormat>
    <chartFormat chart="37" format="116">
      <pivotArea type="data" outline="0" fieldPosition="0">
        <references count="3">
          <reference field="4294967294" count="1" selected="0">
            <x v="1"/>
          </reference>
          <reference field="7" count="1" selected="0">
            <x v="3"/>
          </reference>
          <reference field="10" count="1" selected="0">
            <x v="0"/>
          </reference>
        </references>
      </pivotArea>
    </chartFormat>
    <chartFormat chart="37" format="117">
      <pivotArea type="data" outline="0" fieldPosition="0">
        <references count="3">
          <reference field="4294967294" count="1" selected="0">
            <x v="1"/>
          </reference>
          <reference field="7" count="1" selected="0">
            <x v="3"/>
          </reference>
          <reference field="10" count="1" selected="0">
            <x v="1"/>
          </reference>
        </references>
      </pivotArea>
    </chartFormat>
    <chartFormat chart="37" format="118">
      <pivotArea type="data" outline="0" fieldPosition="0">
        <references count="3">
          <reference field="4294967294" count="1" selected="0">
            <x v="1"/>
          </reference>
          <reference field="7" count="1" selected="0">
            <x v="3"/>
          </reference>
          <reference field="10" count="1" selected="0">
            <x v="2"/>
          </reference>
        </references>
      </pivotArea>
    </chartFormat>
    <chartFormat chart="37" format="119">
      <pivotArea type="data" outline="0" fieldPosition="0">
        <references count="3">
          <reference field="4294967294" count="1" selected="0">
            <x v="1"/>
          </reference>
          <reference field="7" count="1" selected="0">
            <x v="3"/>
          </reference>
          <reference field="10" count="1" selected="0">
            <x v="3"/>
          </reference>
        </references>
      </pivotArea>
    </chartFormat>
    <chartFormat chart="37" format="120">
      <pivotArea type="data" outline="0" fieldPosition="0">
        <references count="3">
          <reference field="4294967294" count="1" selected="0">
            <x v="1"/>
          </reference>
          <reference field="7" count="1" selected="0">
            <x v="3"/>
          </reference>
          <reference field="10" count="1" selected="0">
            <x v="4"/>
          </reference>
        </references>
      </pivotArea>
    </chartFormat>
    <chartFormat chart="37" format="121">
      <pivotArea type="data" outline="0" fieldPosition="0">
        <references count="3">
          <reference field="4294967294" count="1" selected="0">
            <x v="1"/>
          </reference>
          <reference field="7" count="1" selected="0">
            <x v="3"/>
          </reference>
          <reference field="10" count="1" selected="0">
            <x v="5"/>
          </reference>
        </references>
      </pivotArea>
    </chartFormat>
    <chartFormat chart="37" format="122">
      <pivotArea type="data" outline="0" fieldPosition="0">
        <references count="3">
          <reference field="4294967294" count="1" selected="0">
            <x v="1"/>
          </reference>
          <reference field="7" count="1" selected="0">
            <x v="3"/>
          </reference>
          <reference field="10" count="1" selected="0">
            <x v="6"/>
          </reference>
        </references>
      </pivotArea>
    </chartFormat>
    <chartFormat chart="37" format="123">
      <pivotArea type="data" outline="0" fieldPosition="0">
        <references count="3">
          <reference field="4294967294" count="1" selected="0">
            <x v="1"/>
          </reference>
          <reference field="7" count="1" selected="0">
            <x v="3"/>
          </reference>
          <reference field="10" count="1" selected="0">
            <x v="7"/>
          </reference>
        </references>
      </pivotArea>
    </chartFormat>
    <chartFormat chart="37" format="124">
      <pivotArea type="data" outline="0" fieldPosition="0">
        <references count="3">
          <reference field="4294967294" count="1" selected="0">
            <x v="1"/>
          </reference>
          <reference field="7" count="1" selected="0">
            <x v="3"/>
          </reference>
          <reference field="10" count="1" selected="0">
            <x v="8"/>
          </reference>
        </references>
      </pivotArea>
    </chartFormat>
    <chartFormat chart="37" format="125">
      <pivotArea type="data" outline="0" fieldPosition="0">
        <references count="3">
          <reference field="4294967294" count="1" selected="0">
            <x v="1"/>
          </reference>
          <reference field="7" count="1" selected="0">
            <x v="3"/>
          </reference>
          <reference field="10" count="1" selected="0">
            <x v="11"/>
          </reference>
        </references>
      </pivotArea>
    </chartFormat>
    <chartFormat chart="37" format="126">
      <pivotArea type="data" outline="0" fieldPosition="0">
        <references count="3">
          <reference field="4294967294" count="1" selected="0">
            <x v="1"/>
          </reference>
          <reference field="7" count="1" selected="0">
            <x v="3"/>
          </reference>
          <reference field="10" count="1" selected="0">
            <x v="12"/>
          </reference>
        </references>
      </pivotArea>
    </chartFormat>
    <chartFormat chart="37" format="127">
      <pivotArea type="data" outline="0" fieldPosition="0">
        <references count="3">
          <reference field="4294967294" count="1" selected="0">
            <x v="1"/>
          </reference>
          <reference field="7" count="1" selected="0">
            <x v="3"/>
          </reference>
          <reference field="10" count="1" selected="0">
            <x v="13"/>
          </reference>
        </references>
      </pivotArea>
    </chartFormat>
    <chartFormat chart="37" format="128">
      <pivotArea type="data" outline="0" fieldPosition="0">
        <references count="3">
          <reference field="4294967294" count="1" selected="0">
            <x v="1"/>
          </reference>
          <reference field="7" count="1" selected="0">
            <x v="3"/>
          </reference>
          <reference field="10" count="1" selected="0">
            <x v="14"/>
          </reference>
        </references>
      </pivotArea>
    </chartFormat>
    <chartFormat chart="37" format="129">
      <pivotArea type="data" outline="0" fieldPosition="0">
        <references count="3">
          <reference field="4294967294" count="1" selected="0">
            <x v="1"/>
          </reference>
          <reference field="7" count="1" selected="0">
            <x v="3"/>
          </reference>
          <reference field="10" count="1" selected="0">
            <x v="15"/>
          </reference>
        </references>
      </pivotArea>
    </chartFormat>
    <chartFormat chart="37" format="130">
      <pivotArea type="data" outline="0" fieldPosition="0">
        <references count="3">
          <reference field="4294967294" count="1" selected="0">
            <x v="1"/>
          </reference>
          <reference field="7" count="1" selected="0">
            <x v="3"/>
          </reference>
          <reference field="10" count="1" selected="0">
            <x v="16"/>
          </reference>
        </references>
      </pivotArea>
    </chartFormat>
    <chartFormat chart="37" format="131">
      <pivotArea type="data" outline="0" fieldPosition="0">
        <references count="3">
          <reference field="4294967294" count="1" selected="0">
            <x v="1"/>
          </reference>
          <reference field="7" count="1" selected="0">
            <x v="3"/>
          </reference>
          <reference field="10" count="1" selected="0">
            <x v="17"/>
          </reference>
        </references>
      </pivotArea>
    </chartFormat>
    <chartFormat chart="37" format="132">
      <pivotArea type="data" outline="0" fieldPosition="0">
        <references count="3">
          <reference field="4294967294" count="1" selected="0">
            <x v="1"/>
          </reference>
          <reference field="7" count="1" selected="0">
            <x v="3"/>
          </reference>
          <reference field="10" count="1" selected="0">
            <x v="18"/>
          </reference>
        </references>
      </pivotArea>
    </chartFormat>
    <chartFormat chart="37" format="133">
      <pivotArea type="data" outline="0" fieldPosition="0">
        <references count="3">
          <reference field="4294967294" count="1" selected="0">
            <x v="1"/>
          </reference>
          <reference field="7" count="1" selected="0">
            <x v="3"/>
          </reference>
          <reference field="10" count="1" selected="0">
            <x v="19"/>
          </reference>
        </references>
      </pivotArea>
    </chartFormat>
    <chartFormat chart="4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CB4E9F-7F3B-4729-8C25-0EA61093C2A4}" name="Table1" displayName="Table1" ref="A1:U251" totalsRowShown="0" headerRowDxfId="27" headerRowBorderDxfId="26" tableBorderDxfId="25">
  <autoFilter ref="A1:U251" xr:uid="{1ACB4E9F-7F3B-4729-8C25-0EA61093C2A4}"/>
  <tableColumns count="21">
    <tableColumn id="1" xr3:uid="{CF777A2E-B6DE-45AE-B16C-B5D0C7D3A208}" name="TransactionID"/>
    <tableColumn id="2" xr3:uid="{434B967B-0759-404B-92CF-1F691B9A2F50}" name="Date" dataDxfId="24"/>
    <tableColumn id="3" xr3:uid="{6821880D-7D65-468E-85E5-2DA82689EF82}" name="Time"/>
    <tableColumn id="4" xr3:uid="{91445D26-1231-4553-9419-95E249F30B9A}" name="CustomerID"/>
    <tableColumn id="5" xr3:uid="{B652EEC7-39F2-4161-A952-F3EE893ADCA6}" name="CustomerName"/>
    <tableColumn id="6" xr3:uid="{9C044DE6-34B6-44ED-9E26-28E35F36056F}" name="Gender"/>
    <tableColumn id="7" xr3:uid="{3BD9C4A1-EBCC-4A7E-B5AB-1A9E978836BA}" name="Age"/>
    <tableColumn id="8" xr3:uid="{8CECD394-3617-41B2-AFD9-E5EBC2948DCA}" name="Region"/>
    <tableColumn id="9" xr3:uid="{9E01100B-62DD-44A5-8F59-BCB3C5121EA5}" name="City"/>
    <tableColumn id="10" xr3:uid="{8BACD169-7CED-441C-B1D6-CF7F48FCBE3F}" name="Category"/>
    <tableColumn id="11" xr3:uid="{FBC76F43-600A-4514-B8EF-3F3495F66750}" name="Product"/>
    <tableColumn id="12" xr3:uid="{16315315-2799-4B38-AD2E-1D9234E32086}" name="Quantity"/>
    <tableColumn id="13" xr3:uid="{DEC54B24-7D8C-439E-9759-8818A629937B}" name="UnitPrice"/>
    <tableColumn id="14" xr3:uid="{4DF946F1-5855-4C9D-9B97-CB1159E050A2}" name="Discount"/>
    <tableColumn id="15" xr3:uid="{A48D290D-5906-4947-893B-A71BE3852A3A}" name="Revenue"/>
    <tableColumn id="16" xr3:uid="{B5281335-D8E8-4DBF-82C4-4FF2CE388BBC}" name="Cost"/>
    <tableColumn id="17" xr3:uid="{2BEEAB0E-4DC4-489B-BC77-6C4E0DC4F189}" name="Profit"/>
    <tableColumn id="18" xr3:uid="{6324B821-963F-42D0-BBCC-D79F38A9C031}" name="PaymentMethod"/>
    <tableColumn id="19" xr3:uid="{04E75244-C3CC-4BFF-AE88-6976F860DC14}" name="Salesperson"/>
    <tableColumn id="20" xr3:uid="{7F98B648-7F34-429F-A526-028CD00EC12B}" name="CustomerType"/>
    <tableColumn id="21" xr3:uid="{0FBC0362-0823-4601-BF95-856F554B347A}" name="Rat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51"/>
  <sheetViews>
    <sheetView topLeftCell="I1" zoomScale="67" workbookViewId="0">
      <selection activeCell="AB9" sqref="AB9"/>
    </sheetView>
  </sheetViews>
  <sheetFormatPr defaultRowHeight="14.4" x14ac:dyDescent="0.3"/>
  <cols>
    <col min="1" max="1" width="14.33203125" customWidth="1"/>
    <col min="2" max="2" width="21.44140625" customWidth="1"/>
    <col min="3" max="3" width="9.109375" customWidth="1"/>
    <col min="4" max="4" width="12.88671875" customWidth="1"/>
    <col min="5" max="5" width="16.109375" customWidth="1"/>
    <col min="6" max="6" width="12.5546875" customWidth="1"/>
    <col min="7" max="7" width="10.5546875" customWidth="1"/>
    <col min="8" max="8" width="10.77734375" customWidth="1"/>
    <col min="10" max="10" width="10.44140625" customWidth="1"/>
    <col min="11" max="11" width="9.44140625" customWidth="1"/>
    <col min="12" max="12" width="10.33203125" customWidth="1"/>
    <col min="13" max="13" width="14.21875" customWidth="1"/>
    <col min="14" max="14" width="13.88671875" customWidth="1"/>
    <col min="15" max="15" width="13.6640625" customWidth="1"/>
    <col min="16" max="16" width="15.6640625" customWidth="1"/>
    <col min="17" max="17" width="14.6640625" customWidth="1"/>
    <col min="18" max="18" width="17.6640625" customWidth="1"/>
    <col min="19" max="19" width="14.6640625" customWidth="1"/>
    <col min="20" max="20" width="15.21875" customWidth="1"/>
    <col min="21" max="21" width="10.21875" customWidth="1"/>
    <col min="22" max="22" width="11.5546875" customWidth="1"/>
    <col min="23" max="23" width="12.109375" customWidth="1"/>
    <col min="24" max="24" width="18.6640625" customWidth="1"/>
    <col min="25" max="25" width="13.6640625" customWidth="1"/>
    <col min="26" max="26" width="12.21875" customWidth="1"/>
  </cols>
  <sheetData>
    <row r="1" spans="1:2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9" t="s">
        <v>541</v>
      </c>
      <c r="W1" s="39" t="s">
        <v>542</v>
      </c>
      <c r="X1" s="39" t="s">
        <v>543</v>
      </c>
      <c r="Y1" s="39" t="s">
        <v>548</v>
      </c>
      <c r="Z1" s="39" t="s">
        <v>549</v>
      </c>
    </row>
    <row r="2" spans="1:26" x14ac:dyDescent="0.3">
      <c r="A2" t="s">
        <v>21</v>
      </c>
      <c r="B2" s="1">
        <v>45916</v>
      </c>
      <c r="C2" t="s">
        <v>271</v>
      </c>
      <c r="D2" t="s">
        <v>363</v>
      </c>
      <c r="E2" t="s">
        <v>422</v>
      </c>
      <c r="F2" t="s">
        <v>481</v>
      </c>
      <c r="G2">
        <v>51</v>
      </c>
      <c r="H2" t="s">
        <v>483</v>
      </c>
      <c r="I2" t="s">
        <v>487</v>
      </c>
      <c r="J2" t="s">
        <v>502</v>
      </c>
      <c r="K2" t="s">
        <v>507</v>
      </c>
      <c r="L2">
        <v>2</v>
      </c>
      <c r="M2">
        <v>2805.42</v>
      </c>
      <c r="N2">
        <v>0.05</v>
      </c>
      <c r="O2">
        <v>5330.3</v>
      </c>
      <c r="P2">
        <v>3676.48</v>
      </c>
      <c r="Q2">
        <v>1653.82</v>
      </c>
      <c r="R2" t="s">
        <v>527</v>
      </c>
      <c r="S2" t="s">
        <v>532</v>
      </c>
      <c r="T2" t="s">
        <v>538</v>
      </c>
      <c r="U2">
        <v>4</v>
      </c>
      <c r="V2" cm="1">
        <f t="array" ref="V2:V251">YEAR(B2:B251)</f>
        <v>2025</v>
      </c>
      <c r="W2" s="2" t="str">
        <f>TEXT(B2,"mmm")</f>
        <v>Sep</v>
      </c>
      <c r="X2">
        <f>IFERROR(Q2/O2,0)</f>
        <v>0.31026771476277132</v>
      </c>
      <c r="Y2" t="str">
        <f>UPPER(Table1[[#This Row],[CustomerName]])</f>
        <v>AVNI PATEL</v>
      </c>
      <c r="Z2" t="str">
        <f>LEFT(E2,FIND( " ",E2)-1)</f>
        <v>Avni</v>
      </c>
    </row>
    <row r="3" spans="1:26" x14ac:dyDescent="0.3">
      <c r="A3" t="s">
        <v>22</v>
      </c>
      <c r="B3" s="1">
        <v>46017</v>
      </c>
      <c r="C3" t="s">
        <v>272</v>
      </c>
      <c r="D3" t="s">
        <v>364</v>
      </c>
      <c r="E3" t="s">
        <v>423</v>
      </c>
      <c r="F3" t="s">
        <v>482</v>
      </c>
      <c r="G3">
        <v>35</v>
      </c>
      <c r="H3" t="s">
        <v>484</v>
      </c>
      <c r="I3" t="s">
        <v>488</v>
      </c>
      <c r="J3" t="s">
        <v>503</v>
      </c>
      <c r="K3" t="s">
        <v>508</v>
      </c>
      <c r="L3">
        <v>2</v>
      </c>
      <c r="M3">
        <v>3737.83</v>
      </c>
      <c r="N3">
        <v>0.15</v>
      </c>
      <c r="O3">
        <v>6354.31</v>
      </c>
      <c r="P3">
        <v>4823.92</v>
      </c>
      <c r="Q3">
        <v>1530.39</v>
      </c>
      <c r="R3" t="s">
        <v>527</v>
      </c>
      <c r="S3" t="s">
        <v>533</v>
      </c>
      <c r="T3" t="s">
        <v>539</v>
      </c>
      <c r="U3">
        <v>4</v>
      </c>
      <c r="V3">
        <v>2025</v>
      </c>
      <c r="W3" s="2" t="str">
        <f t="shared" ref="W3:W66" si="0">TEXT(B3,"mmm")</f>
        <v>Dec</v>
      </c>
      <c r="X3">
        <f t="shared" ref="X3:X66" si="1">IFERROR(Q3/O3,0)</f>
        <v>0.24084282951256705</v>
      </c>
      <c r="Y3" t="str">
        <f>UPPER(Table1[[#This Row],[CustomerName]])</f>
        <v>ISHA PATEL</v>
      </c>
      <c r="Z3" t="str">
        <f t="shared" ref="Z3:Z66" si="2">LEFT(E3,FIND( " ",E3)-1)</f>
        <v>Isha</v>
      </c>
    </row>
    <row r="4" spans="1:26" x14ac:dyDescent="0.3">
      <c r="A4" t="s">
        <v>23</v>
      </c>
      <c r="B4" s="1">
        <v>45659</v>
      </c>
      <c r="C4" t="s">
        <v>273</v>
      </c>
      <c r="D4" t="s">
        <v>365</v>
      </c>
      <c r="E4" t="s">
        <v>424</v>
      </c>
      <c r="F4" t="s">
        <v>481</v>
      </c>
      <c r="G4">
        <v>41</v>
      </c>
      <c r="H4" t="s">
        <v>485</v>
      </c>
      <c r="I4" t="s">
        <v>489</v>
      </c>
      <c r="J4" t="s">
        <v>504</v>
      </c>
      <c r="K4" t="s">
        <v>509</v>
      </c>
      <c r="L4">
        <v>5</v>
      </c>
      <c r="M4">
        <v>477.55</v>
      </c>
      <c r="N4">
        <v>0</v>
      </c>
      <c r="O4">
        <v>2387.75</v>
      </c>
      <c r="P4">
        <v>1613.58</v>
      </c>
      <c r="Q4">
        <v>774.17</v>
      </c>
      <c r="R4" t="s">
        <v>528</v>
      </c>
      <c r="S4" t="s">
        <v>534</v>
      </c>
      <c r="T4" t="s">
        <v>539</v>
      </c>
      <c r="U4">
        <v>4</v>
      </c>
      <c r="V4">
        <v>2025</v>
      </c>
      <c r="W4" s="2" t="str">
        <f t="shared" si="0"/>
        <v>Jan</v>
      </c>
      <c r="X4">
        <f t="shared" si="1"/>
        <v>0.32422573552507589</v>
      </c>
      <c r="Y4" t="str">
        <f>UPPER(Table1[[#This Row],[CustomerName]])</f>
        <v>RIYA SHAH</v>
      </c>
      <c r="Z4" t="str">
        <f t="shared" si="2"/>
        <v>Riya</v>
      </c>
    </row>
    <row r="5" spans="1:26" x14ac:dyDescent="0.3">
      <c r="A5" t="s">
        <v>24</v>
      </c>
      <c r="B5" s="1">
        <v>45773</v>
      </c>
      <c r="C5" t="s">
        <v>274</v>
      </c>
      <c r="D5" t="s">
        <v>366</v>
      </c>
      <c r="E5" t="s">
        <v>425</v>
      </c>
      <c r="F5" t="s">
        <v>482</v>
      </c>
      <c r="G5">
        <v>22</v>
      </c>
      <c r="H5" t="s">
        <v>483</v>
      </c>
      <c r="I5" t="s">
        <v>490</v>
      </c>
      <c r="J5" t="s">
        <v>505</v>
      </c>
      <c r="K5" t="s">
        <v>510</v>
      </c>
      <c r="L5">
        <v>4</v>
      </c>
      <c r="M5">
        <v>30387.3</v>
      </c>
      <c r="N5">
        <v>0.15</v>
      </c>
      <c r="O5">
        <v>103316.82</v>
      </c>
      <c r="P5">
        <v>83482.75</v>
      </c>
      <c r="Q5">
        <v>19834.07</v>
      </c>
      <c r="R5" t="s">
        <v>529</v>
      </c>
      <c r="S5" t="s">
        <v>535</v>
      </c>
      <c r="T5" t="s">
        <v>540</v>
      </c>
      <c r="U5">
        <v>4</v>
      </c>
      <c r="V5">
        <v>2025</v>
      </c>
      <c r="W5" s="2" t="str">
        <f t="shared" si="0"/>
        <v>Apr</v>
      </c>
      <c r="X5">
        <f t="shared" si="1"/>
        <v>0.19197329147374065</v>
      </c>
      <c r="Y5" t="str">
        <f>UPPER(Table1[[#This Row],[CustomerName]])</f>
        <v>ADITYA SHAH</v>
      </c>
      <c r="Z5" t="str">
        <f t="shared" si="2"/>
        <v>Aditya</v>
      </c>
    </row>
    <row r="6" spans="1:26" x14ac:dyDescent="0.3">
      <c r="A6" t="s">
        <v>25</v>
      </c>
      <c r="B6" s="1">
        <v>45967</v>
      </c>
      <c r="C6" t="s">
        <v>275</v>
      </c>
      <c r="D6" t="s">
        <v>367</v>
      </c>
      <c r="E6" t="s">
        <v>426</v>
      </c>
      <c r="F6" t="s">
        <v>482</v>
      </c>
      <c r="G6">
        <v>56</v>
      </c>
      <c r="H6" t="s">
        <v>483</v>
      </c>
      <c r="I6" t="s">
        <v>490</v>
      </c>
      <c r="J6" t="s">
        <v>504</v>
      </c>
      <c r="K6" t="s">
        <v>511</v>
      </c>
      <c r="L6">
        <v>1</v>
      </c>
      <c r="M6">
        <v>230.72</v>
      </c>
      <c r="N6">
        <v>0.15</v>
      </c>
      <c r="O6">
        <v>196.11</v>
      </c>
      <c r="P6">
        <v>134.35</v>
      </c>
      <c r="Q6">
        <v>61.76</v>
      </c>
      <c r="R6" t="s">
        <v>527</v>
      </c>
      <c r="S6" t="s">
        <v>534</v>
      </c>
      <c r="T6" t="s">
        <v>538</v>
      </c>
      <c r="U6">
        <v>4</v>
      </c>
      <c r="V6">
        <v>2025</v>
      </c>
      <c r="W6" s="2" t="str">
        <f t="shared" si="0"/>
        <v>Nov</v>
      </c>
      <c r="X6">
        <f t="shared" si="1"/>
        <v>0.31492529702717859</v>
      </c>
      <c r="Y6" t="str">
        <f>UPPER(Table1[[#This Row],[CustomerName]])</f>
        <v>VIVAAN PATEL</v>
      </c>
      <c r="Z6" t="str">
        <f t="shared" si="2"/>
        <v>Vivaan</v>
      </c>
    </row>
    <row r="7" spans="1:26" x14ac:dyDescent="0.3">
      <c r="A7" t="s">
        <v>26</v>
      </c>
      <c r="B7" s="1">
        <v>45679</v>
      </c>
      <c r="C7" t="s">
        <v>276</v>
      </c>
      <c r="D7" t="s">
        <v>368</v>
      </c>
      <c r="E7" t="s">
        <v>427</v>
      </c>
      <c r="F7" t="s">
        <v>482</v>
      </c>
      <c r="G7">
        <v>31</v>
      </c>
      <c r="H7" t="s">
        <v>484</v>
      </c>
      <c r="I7" t="s">
        <v>491</v>
      </c>
      <c r="J7" t="s">
        <v>503</v>
      </c>
      <c r="K7" t="s">
        <v>512</v>
      </c>
      <c r="L7">
        <v>3</v>
      </c>
      <c r="M7">
        <v>6431.77</v>
      </c>
      <c r="N7">
        <v>0.1</v>
      </c>
      <c r="O7">
        <v>17365.78</v>
      </c>
      <c r="P7">
        <v>12512.52</v>
      </c>
      <c r="Q7">
        <v>4853.26</v>
      </c>
      <c r="R7" t="s">
        <v>527</v>
      </c>
      <c r="S7" t="s">
        <v>532</v>
      </c>
      <c r="T7" t="s">
        <v>540</v>
      </c>
      <c r="U7">
        <v>5</v>
      </c>
      <c r="V7">
        <v>2025</v>
      </c>
      <c r="W7" s="2" t="str">
        <f t="shared" si="0"/>
        <v>Jan</v>
      </c>
      <c r="X7">
        <f t="shared" si="1"/>
        <v>0.27947261798778983</v>
      </c>
      <c r="Y7" t="str">
        <f>UPPER(Table1[[#This Row],[CustomerName]])</f>
        <v>KABIR PATEL</v>
      </c>
      <c r="Z7" t="str">
        <f t="shared" si="2"/>
        <v>Kabir</v>
      </c>
    </row>
    <row r="8" spans="1:26" x14ac:dyDescent="0.3">
      <c r="A8" t="s">
        <v>27</v>
      </c>
      <c r="B8" s="1">
        <v>45661</v>
      </c>
      <c r="C8" t="s">
        <v>275</v>
      </c>
      <c r="D8" t="s">
        <v>369</v>
      </c>
      <c r="E8" t="s">
        <v>428</v>
      </c>
      <c r="F8" t="s">
        <v>482</v>
      </c>
      <c r="G8">
        <v>53</v>
      </c>
      <c r="H8" t="s">
        <v>485</v>
      </c>
      <c r="I8" t="s">
        <v>492</v>
      </c>
      <c r="J8" t="s">
        <v>502</v>
      </c>
      <c r="K8" t="s">
        <v>513</v>
      </c>
      <c r="L8">
        <v>4</v>
      </c>
      <c r="M8">
        <v>963.43</v>
      </c>
      <c r="N8">
        <v>0.1</v>
      </c>
      <c r="O8">
        <v>3468.35</v>
      </c>
      <c r="P8">
        <v>2344.3000000000002</v>
      </c>
      <c r="Q8">
        <v>1124.05</v>
      </c>
      <c r="R8" t="s">
        <v>528</v>
      </c>
      <c r="S8" t="s">
        <v>536</v>
      </c>
      <c r="T8" t="s">
        <v>540</v>
      </c>
      <c r="U8">
        <v>5</v>
      </c>
      <c r="V8">
        <v>2025</v>
      </c>
      <c r="W8" s="2" t="str">
        <f t="shared" si="0"/>
        <v>Jan</v>
      </c>
      <c r="X8">
        <f t="shared" si="1"/>
        <v>0.32408782273991954</v>
      </c>
      <c r="Y8" t="str">
        <f>UPPER(Table1[[#This Row],[CustomerName]])</f>
        <v>RIYA PATEL</v>
      </c>
      <c r="Z8" t="str">
        <f t="shared" si="2"/>
        <v>Riya</v>
      </c>
    </row>
    <row r="9" spans="1:26" x14ac:dyDescent="0.3">
      <c r="A9" t="s">
        <v>28</v>
      </c>
      <c r="B9" s="1">
        <v>45959</v>
      </c>
      <c r="C9" t="s">
        <v>277</v>
      </c>
      <c r="D9" t="s">
        <v>365</v>
      </c>
      <c r="E9" t="s">
        <v>424</v>
      </c>
      <c r="F9" t="s">
        <v>481</v>
      </c>
      <c r="G9">
        <v>41</v>
      </c>
      <c r="H9" t="s">
        <v>485</v>
      </c>
      <c r="I9" t="s">
        <v>489</v>
      </c>
      <c r="J9" t="s">
        <v>504</v>
      </c>
      <c r="K9" t="s">
        <v>509</v>
      </c>
      <c r="L9">
        <v>4</v>
      </c>
      <c r="M9">
        <v>435.2</v>
      </c>
      <c r="N9">
        <v>0.1</v>
      </c>
      <c r="O9">
        <v>1566.72</v>
      </c>
      <c r="P9">
        <v>1031.19</v>
      </c>
      <c r="Q9">
        <v>535.53</v>
      </c>
      <c r="R9" t="s">
        <v>529</v>
      </c>
      <c r="S9" t="s">
        <v>534</v>
      </c>
      <c r="T9" t="s">
        <v>540</v>
      </c>
      <c r="U9">
        <v>4</v>
      </c>
      <c r="V9">
        <v>2025</v>
      </c>
      <c r="W9" s="2" t="str">
        <f t="shared" si="0"/>
        <v>Oct</v>
      </c>
      <c r="X9">
        <f t="shared" si="1"/>
        <v>0.34181602328431371</v>
      </c>
      <c r="Y9" t="str">
        <f>UPPER(Table1[[#This Row],[CustomerName]])</f>
        <v>RIYA SHAH</v>
      </c>
      <c r="Z9" t="str">
        <f t="shared" si="2"/>
        <v>Riya</v>
      </c>
    </row>
    <row r="10" spans="1:26" x14ac:dyDescent="0.3">
      <c r="A10" t="s">
        <v>29</v>
      </c>
      <c r="B10" s="1">
        <v>45711</v>
      </c>
      <c r="C10" t="s">
        <v>278</v>
      </c>
      <c r="D10" t="s">
        <v>370</v>
      </c>
      <c r="E10" t="s">
        <v>429</v>
      </c>
      <c r="F10" t="s">
        <v>481</v>
      </c>
      <c r="G10">
        <v>39</v>
      </c>
      <c r="H10" t="s">
        <v>483</v>
      </c>
      <c r="I10" t="s">
        <v>487</v>
      </c>
      <c r="J10" t="s">
        <v>502</v>
      </c>
      <c r="K10" t="s">
        <v>514</v>
      </c>
      <c r="L10">
        <v>2</v>
      </c>
      <c r="M10">
        <v>1527.6</v>
      </c>
      <c r="N10">
        <v>0.15</v>
      </c>
      <c r="O10">
        <v>2596.92</v>
      </c>
      <c r="P10">
        <v>1796.37</v>
      </c>
      <c r="Q10">
        <v>800.55</v>
      </c>
      <c r="R10" t="s">
        <v>528</v>
      </c>
      <c r="S10" t="s">
        <v>533</v>
      </c>
      <c r="T10" t="s">
        <v>539</v>
      </c>
      <c r="U10">
        <v>5</v>
      </c>
      <c r="V10">
        <v>2025</v>
      </c>
      <c r="W10" s="2" t="str">
        <f t="shared" si="0"/>
        <v>Feb</v>
      </c>
      <c r="X10">
        <f t="shared" si="1"/>
        <v>0.30826902638510234</v>
      </c>
      <c r="Y10" t="str">
        <f>UPPER(Table1[[#This Row],[CustomerName]])</f>
        <v>AARAV SHAH</v>
      </c>
      <c r="Z10" t="str">
        <f t="shared" si="2"/>
        <v>Aarav</v>
      </c>
    </row>
    <row r="11" spans="1:26" x14ac:dyDescent="0.3">
      <c r="A11" t="s">
        <v>30</v>
      </c>
      <c r="B11" s="1">
        <v>45956</v>
      </c>
      <c r="C11" t="s">
        <v>279</v>
      </c>
      <c r="D11" t="s">
        <v>366</v>
      </c>
      <c r="E11" t="s">
        <v>425</v>
      </c>
      <c r="F11" t="s">
        <v>482</v>
      </c>
      <c r="G11">
        <v>22</v>
      </c>
      <c r="H11" t="s">
        <v>483</v>
      </c>
      <c r="I11" t="s">
        <v>490</v>
      </c>
      <c r="J11" t="s">
        <v>502</v>
      </c>
      <c r="K11" t="s">
        <v>515</v>
      </c>
      <c r="L11">
        <v>2</v>
      </c>
      <c r="M11">
        <v>1889.31</v>
      </c>
      <c r="N11">
        <v>0</v>
      </c>
      <c r="O11">
        <v>3778.62</v>
      </c>
      <c r="P11">
        <v>2804.88</v>
      </c>
      <c r="Q11">
        <v>973.74</v>
      </c>
      <c r="R11" t="s">
        <v>527</v>
      </c>
      <c r="S11" t="s">
        <v>533</v>
      </c>
      <c r="T11" t="s">
        <v>540</v>
      </c>
      <c r="U11">
        <v>5</v>
      </c>
      <c r="V11">
        <v>2025</v>
      </c>
      <c r="W11" s="2" t="str">
        <f t="shared" si="0"/>
        <v>Oct</v>
      </c>
      <c r="X11">
        <f t="shared" si="1"/>
        <v>0.2576972545532496</v>
      </c>
      <c r="Y11" t="str">
        <f>UPPER(Table1[[#This Row],[CustomerName]])</f>
        <v>ADITYA SHAH</v>
      </c>
      <c r="Z11" t="str">
        <f t="shared" si="2"/>
        <v>Aditya</v>
      </c>
    </row>
    <row r="12" spans="1:26" x14ac:dyDescent="0.3">
      <c r="A12" t="s">
        <v>31</v>
      </c>
      <c r="B12" s="1">
        <v>45978</v>
      </c>
      <c r="C12" t="s">
        <v>280</v>
      </c>
      <c r="D12" t="s">
        <v>371</v>
      </c>
      <c r="E12" t="s">
        <v>430</v>
      </c>
      <c r="F12" t="s">
        <v>482</v>
      </c>
      <c r="G12">
        <v>25</v>
      </c>
      <c r="H12" t="s">
        <v>483</v>
      </c>
      <c r="I12" t="s">
        <v>493</v>
      </c>
      <c r="J12" t="s">
        <v>503</v>
      </c>
      <c r="K12" t="s">
        <v>512</v>
      </c>
      <c r="L12">
        <v>4</v>
      </c>
      <c r="M12">
        <v>6902.08</v>
      </c>
      <c r="N12">
        <v>0.08</v>
      </c>
      <c r="O12">
        <v>25399.65</v>
      </c>
      <c r="P12">
        <v>18688.38</v>
      </c>
      <c r="Q12">
        <v>6711.27</v>
      </c>
      <c r="R12" t="s">
        <v>528</v>
      </c>
      <c r="S12" t="s">
        <v>532</v>
      </c>
      <c r="T12" t="s">
        <v>540</v>
      </c>
      <c r="U12">
        <v>5</v>
      </c>
      <c r="V12">
        <v>2025</v>
      </c>
      <c r="W12" s="2" t="str">
        <f t="shared" si="0"/>
        <v>Nov</v>
      </c>
      <c r="X12">
        <f t="shared" si="1"/>
        <v>0.26422686926788364</v>
      </c>
      <c r="Y12" t="str">
        <f>UPPER(Table1[[#This Row],[CustomerName]])</f>
        <v>PRIYA PATEL</v>
      </c>
      <c r="Z12" t="str">
        <f t="shared" si="2"/>
        <v>Priya</v>
      </c>
    </row>
    <row r="13" spans="1:26" x14ac:dyDescent="0.3">
      <c r="A13" t="s">
        <v>32</v>
      </c>
      <c r="B13" s="1">
        <v>45971</v>
      </c>
      <c r="C13" t="s">
        <v>281</v>
      </c>
      <c r="D13" t="s">
        <v>372</v>
      </c>
      <c r="E13" t="s">
        <v>431</v>
      </c>
      <c r="F13" t="s">
        <v>482</v>
      </c>
      <c r="G13">
        <v>41</v>
      </c>
      <c r="H13" t="s">
        <v>485</v>
      </c>
      <c r="I13" t="s">
        <v>492</v>
      </c>
      <c r="J13" t="s">
        <v>505</v>
      </c>
      <c r="K13" t="s">
        <v>510</v>
      </c>
      <c r="L13">
        <v>3</v>
      </c>
      <c r="M13">
        <v>28209.89</v>
      </c>
      <c r="N13">
        <v>0</v>
      </c>
      <c r="O13">
        <v>84629.67</v>
      </c>
      <c r="P13">
        <v>66482.850000000006</v>
      </c>
      <c r="Q13">
        <v>18146.82</v>
      </c>
      <c r="R13" t="s">
        <v>527</v>
      </c>
      <c r="S13" t="s">
        <v>536</v>
      </c>
      <c r="T13" t="s">
        <v>539</v>
      </c>
      <c r="U13">
        <v>4</v>
      </c>
      <c r="V13">
        <v>2025</v>
      </c>
      <c r="W13" s="2" t="str">
        <f t="shared" si="0"/>
        <v>Nov</v>
      </c>
      <c r="X13">
        <f t="shared" si="1"/>
        <v>0.21442621718836904</v>
      </c>
      <c r="Y13" t="str">
        <f>UPPER(Table1[[#This Row],[CustomerName]])</f>
        <v>MAHI PATEL</v>
      </c>
      <c r="Z13" t="str">
        <f t="shared" si="2"/>
        <v>Mahi</v>
      </c>
    </row>
    <row r="14" spans="1:26" x14ac:dyDescent="0.3">
      <c r="A14" t="s">
        <v>33</v>
      </c>
      <c r="B14" s="1">
        <v>46022</v>
      </c>
      <c r="C14" t="s">
        <v>282</v>
      </c>
      <c r="D14" t="s">
        <v>373</v>
      </c>
      <c r="E14" t="s">
        <v>432</v>
      </c>
      <c r="F14" t="s">
        <v>481</v>
      </c>
      <c r="G14">
        <v>38</v>
      </c>
      <c r="H14" t="s">
        <v>483</v>
      </c>
      <c r="I14" t="s">
        <v>494</v>
      </c>
      <c r="J14" t="s">
        <v>502</v>
      </c>
      <c r="K14" t="s">
        <v>507</v>
      </c>
      <c r="L14">
        <v>4</v>
      </c>
      <c r="M14">
        <v>2635.47</v>
      </c>
      <c r="N14">
        <v>0.02</v>
      </c>
      <c r="O14">
        <v>10331.040000000001</v>
      </c>
      <c r="P14">
        <v>7472.03</v>
      </c>
      <c r="Q14">
        <v>2859.01</v>
      </c>
      <c r="R14" t="s">
        <v>528</v>
      </c>
      <c r="S14" t="s">
        <v>532</v>
      </c>
      <c r="T14" t="s">
        <v>538</v>
      </c>
      <c r="U14">
        <v>4</v>
      </c>
      <c r="V14">
        <v>2025</v>
      </c>
      <c r="W14" s="2" t="str">
        <f t="shared" si="0"/>
        <v>Dec</v>
      </c>
      <c r="X14">
        <f t="shared" si="1"/>
        <v>0.27673980547940963</v>
      </c>
      <c r="Y14" t="str">
        <f>UPPER(Table1[[#This Row],[CustomerName]])</f>
        <v>ROHAN PATEL</v>
      </c>
      <c r="Z14" t="str">
        <f t="shared" si="2"/>
        <v>Rohan</v>
      </c>
    </row>
    <row r="15" spans="1:26" x14ac:dyDescent="0.3">
      <c r="A15" t="s">
        <v>34</v>
      </c>
      <c r="B15" s="1">
        <v>46003</v>
      </c>
      <c r="C15" t="s">
        <v>283</v>
      </c>
      <c r="D15" t="s">
        <v>374</v>
      </c>
      <c r="E15" t="s">
        <v>433</v>
      </c>
      <c r="F15" t="s">
        <v>482</v>
      </c>
      <c r="G15">
        <v>23</v>
      </c>
      <c r="H15" t="s">
        <v>486</v>
      </c>
      <c r="I15" t="s">
        <v>495</v>
      </c>
      <c r="J15" t="s">
        <v>504</v>
      </c>
      <c r="K15" t="s">
        <v>516</v>
      </c>
      <c r="L15">
        <v>1</v>
      </c>
      <c r="M15">
        <v>927.14</v>
      </c>
      <c r="N15">
        <v>0</v>
      </c>
      <c r="O15">
        <v>927.14</v>
      </c>
      <c r="P15">
        <v>606.96</v>
      </c>
      <c r="Q15">
        <v>320.18</v>
      </c>
      <c r="R15" t="s">
        <v>529</v>
      </c>
      <c r="S15" t="s">
        <v>533</v>
      </c>
      <c r="T15" t="s">
        <v>540</v>
      </c>
      <c r="U15">
        <v>3</v>
      </c>
      <c r="V15">
        <v>2025</v>
      </c>
      <c r="W15" s="2" t="str">
        <f t="shared" si="0"/>
        <v>Dec</v>
      </c>
      <c r="X15">
        <f t="shared" si="1"/>
        <v>0.34534158810967064</v>
      </c>
      <c r="Y15" t="str">
        <f>UPPER(Table1[[#This Row],[CustomerName]])</f>
        <v>MEERA SHAH</v>
      </c>
      <c r="Z15" t="str">
        <f t="shared" si="2"/>
        <v>Meera</v>
      </c>
    </row>
    <row r="16" spans="1:26" x14ac:dyDescent="0.3">
      <c r="A16" t="s">
        <v>35</v>
      </c>
      <c r="B16" s="1">
        <v>45894</v>
      </c>
      <c r="C16" t="s">
        <v>284</v>
      </c>
      <c r="D16" t="s">
        <v>375</v>
      </c>
      <c r="E16" t="s">
        <v>434</v>
      </c>
      <c r="F16" t="s">
        <v>482</v>
      </c>
      <c r="G16">
        <v>25</v>
      </c>
      <c r="H16" t="s">
        <v>485</v>
      </c>
      <c r="I16" t="s">
        <v>496</v>
      </c>
      <c r="J16" t="s">
        <v>504</v>
      </c>
      <c r="K16" t="s">
        <v>516</v>
      </c>
      <c r="L16">
        <v>5</v>
      </c>
      <c r="M16">
        <v>916.09</v>
      </c>
      <c r="N16">
        <v>0.05</v>
      </c>
      <c r="O16">
        <v>4351.43</v>
      </c>
      <c r="P16">
        <v>2913.48</v>
      </c>
      <c r="Q16">
        <v>1437.95</v>
      </c>
      <c r="R16" t="s">
        <v>528</v>
      </c>
      <c r="S16" t="s">
        <v>535</v>
      </c>
      <c r="T16" t="s">
        <v>540</v>
      </c>
      <c r="U16">
        <v>4</v>
      </c>
      <c r="V16">
        <v>2025</v>
      </c>
      <c r="W16" s="2" t="str">
        <f t="shared" si="0"/>
        <v>Aug</v>
      </c>
      <c r="X16">
        <f t="shared" si="1"/>
        <v>0.33045458619350421</v>
      </c>
      <c r="Y16" t="str">
        <f>UPPER(Table1[[#This Row],[CustomerName]])</f>
        <v>JIYA PATEL</v>
      </c>
      <c r="Z16" t="str">
        <f t="shared" si="2"/>
        <v>Jiya</v>
      </c>
    </row>
    <row r="17" spans="1:26" x14ac:dyDescent="0.3">
      <c r="A17" t="s">
        <v>36</v>
      </c>
      <c r="B17" s="1">
        <v>45726</v>
      </c>
      <c r="C17" t="s">
        <v>285</v>
      </c>
      <c r="D17" t="s">
        <v>376</v>
      </c>
      <c r="E17" t="s">
        <v>435</v>
      </c>
      <c r="F17" t="s">
        <v>481</v>
      </c>
      <c r="G17">
        <v>45</v>
      </c>
      <c r="H17" t="s">
        <v>485</v>
      </c>
      <c r="I17" t="s">
        <v>496</v>
      </c>
      <c r="J17" t="s">
        <v>504</v>
      </c>
      <c r="K17" t="s">
        <v>511</v>
      </c>
      <c r="L17">
        <v>5</v>
      </c>
      <c r="M17">
        <v>248.97</v>
      </c>
      <c r="N17">
        <v>0.02</v>
      </c>
      <c r="O17">
        <v>1219.95</v>
      </c>
      <c r="P17">
        <v>942.62</v>
      </c>
      <c r="Q17">
        <v>277.33</v>
      </c>
      <c r="R17" t="s">
        <v>530</v>
      </c>
      <c r="S17" t="s">
        <v>536</v>
      </c>
      <c r="T17" t="s">
        <v>540</v>
      </c>
      <c r="U17">
        <v>4</v>
      </c>
      <c r="V17">
        <v>2025</v>
      </c>
      <c r="W17" s="2" t="str">
        <f t="shared" si="0"/>
        <v>Mar</v>
      </c>
      <c r="X17">
        <f t="shared" si="1"/>
        <v>0.22732898889298739</v>
      </c>
      <c r="Y17" t="str">
        <f>UPPER(Table1[[#This Row],[CustomerName]])</f>
        <v>MEERA PATEL</v>
      </c>
      <c r="Z17" t="str">
        <f t="shared" si="2"/>
        <v>Meera</v>
      </c>
    </row>
    <row r="18" spans="1:26" x14ac:dyDescent="0.3">
      <c r="A18" t="s">
        <v>37</v>
      </c>
      <c r="B18" s="1">
        <v>45907</v>
      </c>
      <c r="C18" t="s">
        <v>281</v>
      </c>
      <c r="D18" t="s">
        <v>377</v>
      </c>
      <c r="E18" t="s">
        <v>436</v>
      </c>
      <c r="F18" t="s">
        <v>481</v>
      </c>
      <c r="G18">
        <v>58</v>
      </c>
      <c r="H18" t="s">
        <v>483</v>
      </c>
      <c r="I18" t="s">
        <v>487</v>
      </c>
      <c r="J18" t="s">
        <v>502</v>
      </c>
      <c r="K18" t="s">
        <v>515</v>
      </c>
      <c r="L18">
        <v>4</v>
      </c>
      <c r="M18">
        <v>1763.89</v>
      </c>
      <c r="N18">
        <v>0.02</v>
      </c>
      <c r="O18">
        <v>6914.45</v>
      </c>
      <c r="P18">
        <v>5577.8</v>
      </c>
      <c r="Q18">
        <v>1336.65</v>
      </c>
      <c r="R18" t="s">
        <v>529</v>
      </c>
      <c r="S18" t="s">
        <v>535</v>
      </c>
      <c r="T18" t="s">
        <v>538</v>
      </c>
      <c r="U18">
        <v>5</v>
      </c>
      <c r="V18">
        <v>2025</v>
      </c>
      <c r="W18" s="2" t="str">
        <f t="shared" si="0"/>
        <v>Sep</v>
      </c>
      <c r="X18">
        <f t="shared" si="1"/>
        <v>0.1933125555901048</v>
      </c>
      <c r="Y18" t="str">
        <f>UPPER(Table1[[#This Row],[CustomerName]])</f>
        <v>AANYA PATEL</v>
      </c>
      <c r="Z18" t="str">
        <f t="shared" si="2"/>
        <v>Aanya</v>
      </c>
    </row>
    <row r="19" spans="1:26" x14ac:dyDescent="0.3">
      <c r="A19" t="s">
        <v>38</v>
      </c>
      <c r="B19" s="1">
        <v>45904</v>
      </c>
      <c r="C19" t="s">
        <v>286</v>
      </c>
      <c r="D19" t="s">
        <v>378</v>
      </c>
      <c r="E19" t="s">
        <v>437</v>
      </c>
      <c r="F19" t="s">
        <v>482</v>
      </c>
      <c r="G19">
        <v>57</v>
      </c>
      <c r="H19" t="s">
        <v>485</v>
      </c>
      <c r="I19" t="s">
        <v>492</v>
      </c>
      <c r="J19" t="s">
        <v>504</v>
      </c>
      <c r="K19" t="s">
        <v>511</v>
      </c>
      <c r="L19">
        <v>3</v>
      </c>
      <c r="M19">
        <v>262.04000000000002</v>
      </c>
      <c r="N19">
        <v>0.08</v>
      </c>
      <c r="O19">
        <v>723.23</v>
      </c>
      <c r="P19">
        <v>504.55</v>
      </c>
      <c r="Q19">
        <v>218.68</v>
      </c>
      <c r="R19" t="s">
        <v>527</v>
      </c>
      <c r="S19" t="s">
        <v>532</v>
      </c>
      <c r="T19" t="s">
        <v>538</v>
      </c>
      <c r="U19">
        <v>4</v>
      </c>
      <c r="V19">
        <v>2025</v>
      </c>
      <c r="W19" s="2" t="str">
        <f t="shared" si="0"/>
        <v>Sep</v>
      </c>
      <c r="X19">
        <f t="shared" si="1"/>
        <v>0.30236577575598356</v>
      </c>
      <c r="Y19" t="str">
        <f>UPPER(Table1[[#This Row],[CustomerName]])</f>
        <v>ANAYA PATEL</v>
      </c>
      <c r="Z19" t="str">
        <f t="shared" si="2"/>
        <v>Anaya</v>
      </c>
    </row>
    <row r="20" spans="1:26" x14ac:dyDescent="0.3">
      <c r="A20" t="s">
        <v>39</v>
      </c>
      <c r="B20" s="1">
        <v>45925</v>
      </c>
      <c r="C20" t="s">
        <v>287</v>
      </c>
      <c r="D20" t="s">
        <v>379</v>
      </c>
      <c r="E20" t="s">
        <v>438</v>
      </c>
      <c r="F20" t="s">
        <v>482</v>
      </c>
      <c r="G20">
        <v>49</v>
      </c>
      <c r="H20" t="s">
        <v>486</v>
      </c>
      <c r="I20" t="s">
        <v>497</v>
      </c>
      <c r="J20" t="s">
        <v>504</v>
      </c>
      <c r="K20" t="s">
        <v>517</v>
      </c>
      <c r="L20">
        <v>3</v>
      </c>
      <c r="M20">
        <v>285.39999999999998</v>
      </c>
      <c r="N20">
        <v>0.1</v>
      </c>
      <c r="O20">
        <v>770.58</v>
      </c>
      <c r="P20">
        <v>510.83</v>
      </c>
      <c r="Q20">
        <v>259.75</v>
      </c>
      <c r="R20" t="s">
        <v>531</v>
      </c>
      <c r="S20" t="s">
        <v>535</v>
      </c>
      <c r="T20" t="s">
        <v>540</v>
      </c>
      <c r="U20">
        <v>5</v>
      </c>
      <c r="V20">
        <v>2025</v>
      </c>
      <c r="W20" s="2" t="str">
        <f t="shared" si="0"/>
        <v>Sep</v>
      </c>
      <c r="X20">
        <f t="shared" si="1"/>
        <v>0.33708375509356586</v>
      </c>
      <c r="Y20" t="str">
        <f>UPPER(Table1[[#This Row],[CustomerName]])</f>
        <v>RAHUL SHAH</v>
      </c>
      <c r="Z20" t="str">
        <f t="shared" si="2"/>
        <v>Rahul</v>
      </c>
    </row>
    <row r="21" spans="1:26" x14ac:dyDescent="0.3">
      <c r="A21" t="s">
        <v>40</v>
      </c>
      <c r="B21" s="1">
        <v>45747</v>
      </c>
      <c r="C21" t="s">
        <v>288</v>
      </c>
      <c r="D21" t="s">
        <v>380</v>
      </c>
      <c r="E21" t="s">
        <v>439</v>
      </c>
      <c r="F21" t="s">
        <v>482</v>
      </c>
      <c r="G21">
        <v>59</v>
      </c>
      <c r="H21" t="s">
        <v>485</v>
      </c>
      <c r="I21" t="s">
        <v>492</v>
      </c>
      <c r="J21" t="s">
        <v>504</v>
      </c>
      <c r="K21" t="s">
        <v>517</v>
      </c>
      <c r="L21">
        <v>2</v>
      </c>
      <c r="M21">
        <v>288.51</v>
      </c>
      <c r="N21">
        <v>0.08</v>
      </c>
      <c r="O21">
        <v>530.86</v>
      </c>
      <c r="P21">
        <v>402.7</v>
      </c>
      <c r="Q21">
        <v>128.16</v>
      </c>
      <c r="R21" t="s">
        <v>531</v>
      </c>
      <c r="S21" t="s">
        <v>535</v>
      </c>
      <c r="T21" t="s">
        <v>539</v>
      </c>
      <c r="U21">
        <v>3</v>
      </c>
      <c r="V21">
        <v>2025</v>
      </c>
      <c r="W21" s="2" t="str">
        <f t="shared" si="0"/>
        <v>Mar</v>
      </c>
      <c r="X21">
        <f t="shared" si="1"/>
        <v>0.24141958331763552</v>
      </c>
      <c r="Y21" t="str">
        <f>UPPER(Table1[[#This Row],[CustomerName]])</f>
        <v>DIYA PATEL</v>
      </c>
      <c r="Z21" t="str">
        <f t="shared" si="2"/>
        <v>Diya</v>
      </c>
    </row>
    <row r="22" spans="1:26" x14ac:dyDescent="0.3">
      <c r="A22" t="s">
        <v>41</v>
      </c>
      <c r="B22" s="1">
        <v>45934</v>
      </c>
      <c r="C22" t="s">
        <v>289</v>
      </c>
      <c r="D22" t="s">
        <v>375</v>
      </c>
      <c r="E22" t="s">
        <v>434</v>
      </c>
      <c r="F22" t="s">
        <v>482</v>
      </c>
      <c r="G22">
        <v>25</v>
      </c>
      <c r="H22" t="s">
        <v>485</v>
      </c>
      <c r="I22" t="s">
        <v>496</v>
      </c>
      <c r="J22" t="s">
        <v>505</v>
      </c>
      <c r="K22" t="s">
        <v>518</v>
      </c>
      <c r="L22">
        <v>3</v>
      </c>
      <c r="M22">
        <v>59316.45</v>
      </c>
      <c r="N22">
        <v>0.08</v>
      </c>
      <c r="O22">
        <v>163713.4</v>
      </c>
      <c r="P22">
        <v>113683.18</v>
      </c>
      <c r="Q22">
        <v>50030.22</v>
      </c>
      <c r="R22" t="s">
        <v>530</v>
      </c>
      <c r="S22" t="s">
        <v>536</v>
      </c>
      <c r="T22" t="s">
        <v>538</v>
      </c>
      <c r="U22">
        <v>5</v>
      </c>
      <c r="V22">
        <v>2025</v>
      </c>
      <c r="W22" s="2" t="str">
        <f t="shared" si="0"/>
        <v>Oct</v>
      </c>
      <c r="X22">
        <f t="shared" si="1"/>
        <v>0.30559636535555429</v>
      </c>
      <c r="Y22" t="str">
        <f>UPPER(Table1[[#This Row],[CustomerName]])</f>
        <v>JIYA PATEL</v>
      </c>
      <c r="Z22" t="str">
        <f t="shared" si="2"/>
        <v>Jiya</v>
      </c>
    </row>
    <row r="23" spans="1:26" x14ac:dyDescent="0.3">
      <c r="A23" t="s">
        <v>42</v>
      </c>
      <c r="B23" s="1">
        <v>46012</v>
      </c>
      <c r="C23" t="s">
        <v>290</v>
      </c>
      <c r="D23" t="s">
        <v>375</v>
      </c>
      <c r="E23" t="s">
        <v>434</v>
      </c>
      <c r="F23" t="s">
        <v>482</v>
      </c>
      <c r="G23">
        <v>25</v>
      </c>
      <c r="H23" t="s">
        <v>485</v>
      </c>
      <c r="I23" t="s">
        <v>496</v>
      </c>
      <c r="J23" t="s">
        <v>504</v>
      </c>
      <c r="K23" t="s">
        <v>517</v>
      </c>
      <c r="L23">
        <v>4</v>
      </c>
      <c r="M23">
        <v>315.67</v>
      </c>
      <c r="N23">
        <v>0.15</v>
      </c>
      <c r="O23">
        <v>1073.28</v>
      </c>
      <c r="P23">
        <v>729.32</v>
      </c>
      <c r="Q23">
        <v>343.96</v>
      </c>
      <c r="R23" t="s">
        <v>528</v>
      </c>
      <c r="S23" t="s">
        <v>532</v>
      </c>
      <c r="T23" t="s">
        <v>540</v>
      </c>
      <c r="U23">
        <v>5</v>
      </c>
      <c r="V23">
        <v>2025</v>
      </c>
      <c r="W23" s="2" t="str">
        <f t="shared" si="0"/>
        <v>Dec</v>
      </c>
      <c r="X23">
        <f t="shared" si="1"/>
        <v>0.32047555158020274</v>
      </c>
      <c r="Y23" t="str">
        <f>UPPER(Table1[[#This Row],[CustomerName]])</f>
        <v>JIYA PATEL</v>
      </c>
      <c r="Z23" t="str">
        <f t="shared" si="2"/>
        <v>Jiya</v>
      </c>
    </row>
    <row r="24" spans="1:26" x14ac:dyDescent="0.3">
      <c r="A24" t="s">
        <v>43</v>
      </c>
      <c r="B24" s="1">
        <v>45733</v>
      </c>
      <c r="C24" t="s">
        <v>291</v>
      </c>
      <c r="D24" t="s">
        <v>369</v>
      </c>
      <c r="E24" t="s">
        <v>428</v>
      </c>
      <c r="F24" t="s">
        <v>482</v>
      </c>
      <c r="G24">
        <v>53</v>
      </c>
      <c r="H24" t="s">
        <v>485</v>
      </c>
      <c r="I24" t="s">
        <v>492</v>
      </c>
      <c r="J24" t="s">
        <v>504</v>
      </c>
      <c r="K24" t="s">
        <v>516</v>
      </c>
      <c r="L24">
        <v>4</v>
      </c>
      <c r="M24">
        <v>910.58</v>
      </c>
      <c r="N24">
        <v>0.1</v>
      </c>
      <c r="O24">
        <v>3278.09</v>
      </c>
      <c r="P24">
        <v>2092.54</v>
      </c>
      <c r="Q24">
        <v>1185.55</v>
      </c>
      <c r="R24" t="s">
        <v>527</v>
      </c>
      <c r="S24" t="s">
        <v>532</v>
      </c>
      <c r="T24" t="s">
        <v>538</v>
      </c>
      <c r="U24">
        <v>4</v>
      </c>
      <c r="V24">
        <v>2025</v>
      </c>
      <c r="W24" s="2" t="str">
        <f t="shared" si="0"/>
        <v>Mar</v>
      </c>
      <c r="X24">
        <f t="shared" si="1"/>
        <v>0.36165877080861109</v>
      </c>
      <c r="Y24" t="str">
        <f>UPPER(Table1[[#This Row],[CustomerName]])</f>
        <v>RIYA PATEL</v>
      </c>
      <c r="Z24" t="str">
        <f t="shared" si="2"/>
        <v>Riya</v>
      </c>
    </row>
    <row r="25" spans="1:26" x14ac:dyDescent="0.3">
      <c r="A25" t="s">
        <v>44</v>
      </c>
      <c r="B25" s="1">
        <v>45808</v>
      </c>
      <c r="C25" t="s">
        <v>291</v>
      </c>
      <c r="D25" t="s">
        <v>381</v>
      </c>
      <c r="E25" t="s">
        <v>440</v>
      </c>
      <c r="F25" t="s">
        <v>482</v>
      </c>
      <c r="G25">
        <v>54</v>
      </c>
      <c r="H25" t="s">
        <v>485</v>
      </c>
      <c r="I25" t="s">
        <v>498</v>
      </c>
      <c r="J25" t="s">
        <v>505</v>
      </c>
      <c r="K25" t="s">
        <v>510</v>
      </c>
      <c r="L25">
        <v>2</v>
      </c>
      <c r="M25">
        <v>27876.28</v>
      </c>
      <c r="N25">
        <v>0.02</v>
      </c>
      <c r="O25">
        <v>54637.51</v>
      </c>
      <c r="P25">
        <v>38700.080000000002</v>
      </c>
      <c r="Q25">
        <v>15937.43</v>
      </c>
      <c r="R25" t="s">
        <v>530</v>
      </c>
      <c r="S25" t="s">
        <v>534</v>
      </c>
      <c r="T25" t="s">
        <v>538</v>
      </c>
      <c r="U25">
        <v>5</v>
      </c>
      <c r="V25">
        <v>2025</v>
      </c>
      <c r="W25" s="2" t="str">
        <f t="shared" si="0"/>
        <v>May</v>
      </c>
      <c r="X25">
        <f t="shared" si="1"/>
        <v>0.29169392968310598</v>
      </c>
      <c r="Y25" t="str">
        <f>UPPER(Table1[[#This Row],[CustomerName]])</f>
        <v>AANYA SHAH</v>
      </c>
      <c r="Z25" t="str">
        <f t="shared" si="2"/>
        <v>Aanya</v>
      </c>
    </row>
    <row r="26" spans="1:26" x14ac:dyDescent="0.3">
      <c r="A26" t="s">
        <v>45</v>
      </c>
      <c r="B26" s="1">
        <v>45731</v>
      </c>
      <c r="C26" t="s">
        <v>292</v>
      </c>
      <c r="D26" t="s">
        <v>382</v>
      </c>
      <c r="E26" t="s">
        <v>441</v>
      </c>
      <c r="F26" t="s">
        <v>482</v>
      </c>
      <c r="G26">
        <v>32</v>
      </c>
      <c r="H26" t="s">
        <v>485</v>
      </c>
      <c r="I26" t="s">
        <v>489</v>
      </c>
      <c r="J26" t="s">
        <v>504</v>
      </c>
      <c r="K26" t="s">
        <v>517</v>
      </c>
      <c r="L26">
        <v>5</v>
      </c>
      <c r="M26">
        <v>286.68</v>
      </c>
      <c r="N26">
        <v>0</v>
      </c>
      <c r="O26">
        <v>1433.4</v>
      </c>
      <c r="P26">
        <v>1124.32</v>
      </c>
      <c r="Q26">
        <v>309.08</v>
      </c>
      <c r="R26" t="s">
        <v>531</v>
      </c>
      <c r="S26" t="s">
        <v>533</v>
      </c>
      <c r="T26" t="s">
        <v>540</v>
      </c>
      <c r="U26">
        <v>3</v>
      </c>
      <c r="V26">
        <v>2025</v>
      </c>
      <c r="W26" s="2" t="str">
        <f t="shared" si="0"/>
        <v>Mar</v>
      </c>
      <c r="X26">
        <f t="shared" si="1"/>
        <v>0.21562718013115667</v>
      </c>
      <c r="Y26" t="str">
        <f>UPPER(Table1[[#This Row],[CustomerName]])</f>
        <v>YASH PATEL</v>
      </c>
      <c r="Z26" t="str">
        <f t="shared" si="2"/>
        <v>Yash</v>
      </c>
    </row>
    <row r="27" spans="1:26" x14ac:dyDescent="0.3">
      <c r="A27" t="s">
        <v>46</v>
      </c>
      <c r="B27" s="1">
        <v>45793</v>
      </c>
      <c r="C27" t="s">
        <v>285</v>
      </c>
      <c r="D27" t="s">
        <v>369</v>
      </c>
      <c r="E27" t="s">
        <v>428</v>
      </c>
      <c r="F27" t="s">
        <v>482</v>
      </c>
      <c r="G27">
        <v>53</v>
      </c>
      <c r="H27" t="s">
        <v>485</v>
      </c>
      <c r="I27" t="s">
        <v>492</v>
      </c>
      <c r="J27" t="s">
        <v>506</v>
      </c>
      <c r="K27" t="s">
        <v>519</v>
      </c>
      <c r="L27">
        <v>1</v>
      </c>
      <c r="M27">
        <v>1217.6400000000001</v>
      </c>
      <c r="N27">
        <v>0.08</v>
      </c>
      <c r="O27">
        <v>1120.23</v>
      </c>
      <c r="P27">
        <v>778.84</v>
      </c>
      <c r="Q27">
        <v>341.39</v>
      </c>
      <c r="R27" t="s">
        <v>528</v>
      </c>
      <c r="S27" t="s">
        <v>535</v>
      </c>
      <c r="T27" t="s">
        <v>538</v>
      </c>
      <c r="U27">
        <v>5</v>
      </c>
      <c r="V27">
        <v>2025</v>
      </c>
      <c r="W27" s="2" t="str">
        <f t="shared" si="0"/>
        <v>May</v>
      </c>
      <c r="X27">
        <f t="shared" si="1"/>
        <v>0.3047499174276711</v>
      </c>
      <c r="Y27" t="str">
        <f>UPPER(Table1[[#This Row],[CustomerName]])</f>
        <v>RIYA PATEL</v>
      </c>
      <c r="Z27" t="str">
        <f t="shared" si="2"/>
        <v>Riya</v>
      </c>
    </row>
    <row r="28" spans="1:26" x14ac:dyDescent="0.3">
      <c r="A28" t="s">
        <v>47</v>
      </c>
      <c r="B28" s="1">
        <v>46003</v>
      </c>
      <c r="C28" t="s">
        <v>293</v>
      </c>
      <c r="D28" t="s">
        <v>383</v>
      </c>
      <c r="E28" t="s">
        <v>442</v>
      </c>
      <c r="F28" t="s">
        <v>481</v>
      </c>
      <c r="G28">
        <v>20</v>
      </c>
      <c r="H28" t="s">
        <v>484</v>
      </c>
      <c r="I28" t="s">
        <v>499</v>
      </c>
      <c r="J28" t="s">
        <v>503</v>
      </c>
      <c r="K28" t="s">
        <v>508</v>
      </c>
      <c r="L28">
        <v>5</v>
      </c>
      <c r="M28">
        <v>3446.91</v>
      </c>
      <c r="N28">
        <v>0.15</v>
      </c>
      <c r="O28">
        <v>14649.37</v>
      </c>
      <c r="P28">
        <v>9247.57</v>
      </c>
      <c r="Q28">
        <v>5401.8</v>
      </c>
      <c r="R28" t="s">
        <v>527</v>
      </c>
      <c r="S28" t="s">
        <v>535</v>
      </c>
      <c r="T28" t="s">
        <v>538</v>
      </c>
      <c r="U28">
        <v>5</v>
      </c>
      <c r="V28">
        <v>2025</v>
      </c>
      <c r="W28" s="2" t="str">
        <f t="shared" si="0"/>
        <v>Dec</v>
      </c>
      <c r="X28">
        <f t="shared" si="1"/>
        <v>0.36873940654103216</v>
      </c>
      <c r="Y28" t="str">
        <f>UPPER(Table1[[#This Row],[CustomerName]])</f>
        <v>DEV PATEL</v>
      </c>
      <c r="Z28" t="str">
        <f t="shared" si="2"/>
        <v>Dev</v>
      </c>
    </row>
    <row r="29" spans="1:26" x14ac:dyDescent="0.3">
      <c r="A29" t="s">
        <v>48</v>
      </c>
      <c r="B29" s="1">
        <v>46005</v>
      </c>
      <c r="C29" t="s">
        <v>291</v>
      </c>
      <c r="D29" t="s">
        <v>384</v>
      </c>
      <c r="E29" t="s">
        <v>443</v>
      </c>
      <c r="F29" t="s">
        <v>482</v>
      </c>
      <c r="G29">
        <v>28</v>
      </c>
      <c r="H29" t="s">
        <v>484</v>
      </c>
      <c r="I29" t="s">
        <v>488</v>
      </c>
      <c r="J29" t="s">
        <v>503</v>
      </c>
      <c r="K29" t="s">
        <v>508</v>
      </c>
      <c r="L29">
        <v>1</v>
      </c>
      <c r="M29">
        <v>3345.21</v>
      </c>
      <c r="N29">
        <v>0.15</v>
      </c>
      <c r="O29">
        <v>2843.43</v>
      </c>
      <c r="P29">
        <v>2219.0700000000002</v>
      </c>
      <c r="Q29">
        <v>624.36</v>
      </c>
      <c r="R29" t="s">
        <v>530</v>
      </c>
      <c r="S29" t="s">
        <v>535</v>
      </c>
      <c r="T29" t="s">
        <v>540</v>
      </c>
      <c r="U29">
        <v>5</v>
      </c>
      <c r="V29">
        <v>2025</v>
      </c>
      <c r="W29" s="2" t="str">
        <f t="shared" si="0"/>
        <v>Dec</v>
      </c>
      <c r="X29">
        <f t="shared" si="1"/>
        <v>0.21957987360335934</v>
      </c>
      <c r="Y29" t="str">
        <f>UPPER(Table1[[#This Row],[CustomerName]])</f>
        <v>ADITYA PATEL</v>
      </c>
      <c r="Z29" t="str">
        <f t="shared" si="2"/>
        <v>Aditya</v>
      </c>
    </row>
    <row r="30" spans="1:26" x14ac:dyDescent="0.3">
      <c r="A30" t="s">
        <v>49</v>
      </c>
      <c r="B30" s="1">
        <v>45870</v>
      </c>
      <c r="C30" t="s">
        <v>294</v>
      </c>
      <c r="D30" t="s">
        <v>385</v>
      </c>
      <c r="E30" t="s">
        <v>444</v>
      </c>
      <c r="F30" t="s">
        <v>481</v>
      </c>
      <c r="G30">
        <v>19</v>
      </c>
      <c r="H30" t="s">
        <v>483</v>
      </c>
      <c r="I30" t="s">
        <v>493</v>
      </c>
      <c r="J30" t="s">
        <v>505</v>
      </c>
      <c r="K30" t="s">
        <v>520</v>
      </c>
      <c r="L30">
        <v>3</v>
      </c>
      <c r="M30">
        <v>2687.72</v>
      </c>
      <c r="N30">
        <v>0.02</v>
      </c>
      <c r="O30">
        <v>7901.9</v>
      </c>
      <c r="P30">
        <v>5161.8599999999997</v>
      </c>
      <c r="Q30">
        <v>2740.04</v>
      </c>
      <c r="R30" t="s">
        <v>529</v>
      </c>
      <c r="S30" t="s">
        <v>537</v>
      </c>
      <c r="T30" t="s">
        <v>540</v>
      </c>
      <c r="U30">
        <v>5</v>
      </c>
      <c r="V30">
        <v>2025</v>
      </c>
      <c r="W30" s="2" t="str">
        <f t="shared" si="0"/>
        <v>Aug</v>
      </c>
      <c r="X30">
        <f t="shared" si="1"/>
        <v>0.34675710904972223</v>
      </c>
      <c r="Y30" t="str">
        <f>UPPER(Table1[[#This Row],[CustomerName]])</f>
        <v>KHUSHI SHAH</v>
      </c>
      <c r="Z30" t="str">
        <f t="shared" si="2"/>
        <v>Khushi</v>
      </c>
    </row>
    <row r="31" spans="1:26" x14ac:dyDescent="0.3">
      <c r="A31" t="s">
        <v>50</v>
      </c>
      <c r="B31" s="1">
        <v>45916</v>
      </c>
      <c r="C31" t="s">
        <v>295</v>
      </c>
      <c r="D31" t="s">
        <v>385</v>
      </c>
      <c r="E31" t="s">
        <v>444</v>
      </c>
      <c r="F31" t="s">
        <v>481</v>
      </c>
      <c r="G31">
        <v>19</v>
      </c>
      <c r="H31" t="s">
        <v>483</v>
      </c>
      <c r="I31" t="s">
        <v>493</v>
      </c>
      <c r="J31" t="s">
        <v>504</v>
      </c>
      <c r="K31" t="s">
        <v>517</v>
      </c>
      <c r="L31">
        <v>4</v>
      </c>
      <c r="M31">
        <v>281.12</v>
      </c>
      <c r="N31">
        <v>0.1</v>
      </c>
      <c r="O31">
        <v>1012.03</v>
      </c>
      <c r="P31">
        <v>683.6</v>
      </c>
      <c r="Q31">
        <v>328.43</v>
      </c>
      <c r="R31" t="s">
        <v>527</v>
      </c>
      <c r="S31" t="s">
        <v>536</v>
      </c>
      <c r="T31" t="s">
        <v>538</v>
      </c>
      <c r="U31">
        <v>4</v>
      </c>
      <c r="V31">
        <v>2025</v>
      </c>
      <c r="W31" s="2" t="str">
        <f t="shared" si="0"/>
        <v>Sep</v>
      </c>
      <c r="X31">
        <f t="shared" si="1"/>
        <v>0.32452595278796087</v>
      </c>
      <c r="Y31" t="str">
        <f>UPPER(Table1[[#This Row],[CustomerName]])</f>
        <v>KHUSHI SHAH</v>
      </c>
      <c r="Z31" t="str">
        <f t="shared" si="2"/>
        <v>Khushi</v>
      </c>
    </row>
    <row r="32" spans="1:26" x14ac:dyDescent="0.3">
      <c r="A32" t="s">
        <v>51</v>
      </c>
      <c r="B32" s="1">
        <v>45685</v>
      </c>
      <c r="C32" t="s">
        <v>296</v>
      </c>
      <c r="D32" t="s">
        <v>386</v>
      </c>
      <c r="E32" t="s">
        <v>445</v>
      </c>
      <c r="F32" t="s">
        <v>482</v>
      </c>
      <c r="G32">
        <v>29</v>
      </c>
      <c r="H32" t="s">
        <v>485</v>
      </c>
      <c r="I32" t="s">
        <v>492</v>
      </c>
      <c r="J32" t="s">
        <v>504</v>
      </c>
      <c r="K32" t="s">
        <v>511</v>
      </c>
      <c r="L32">
        <v>3</v>
      </c>
      <c r="M32">
        <v>257.93</v>
      </c>
      <c r="N32">
        <v>0</v>
      </c>
      <c r="O32">
        <v>773.79</v>
      </c>
      <c r="P32">
        <v>523.04999999999995</v>
      </c>
      <c r="Q32">
        <v>250.74</v>
      </c>
      <c r="R32" t="s">
        <v>530</v>
      </c>
      <c r="S32" t="s">
        <v>536</v>
      </c>
      <c r="T32" t="s">
        <v>538</v>
      </c>
      <c r="U32">
        <v>4</v>
      </c>
      <c r="V32">
        <v>2025</v>
      </c>
      <c r="W32" s="2" t="str">
        <f t="shared" si="0"/>
        <v>Jan</v>
      </c>
      <c r="X32">
        <f t="shared" si="1"/>
        <v>0.32404140658318153</v>
      </c>
      <c r="Y32" t="str">
        <f>UPPER(Table1[[#This Row],[CustomerName]])</f>
        <v>PRIYA SHAH</v>
      </c>
      <c r="Z32" t="str">
        <f t="shared" si="2"/>
        <v>Priya</v>
      </c>
    </row>
    <row r="33" spans="1:26" x14ac:dyDescent="0.3">
      <c r="A33" t="s">
        <v>52</v>
      </c>
      <c r="B33" s="1">
        <v>45703</v>
      </c>
      <c r="C33" t="s">
        <v>297</v>
      </c>
      <c r="D33" t="s">
        <v>387</v>
      </c>
      <c r="E33" t="s">
        <v>446</v>
      </c>
      <c r="F33" t="s">
        <v>482</v>
      </c>
      <c r="G33">
        <v>19</v>
      </c>
      <c r="H33" t="s">
        <v>485</v>
      </c>
      <c r="I33" t="s">
        <v>492</v>
      </c>
      <c r="J33" t="s">
        <v>504</v>
      </c>
      <c r="K33" t="s">
        <v>516</v>
      </c>
      <c r="L33">
        <v>5</v>
      </c>
      <c r="M33">
        <v>916.33</v>
      </c>
      <c r="N33">
        <v>0.02</v>
      </c>
      <c r="O33">
        <v>4490.0200000000004</v>
      </c>
      <c r="P33">
        <v>2858.12</v>
      </c>
      <c r="Q33">
        <v>1631.9</v>
      </c>
      <c r="R33" t="s">
        <v>531</v>
      </c>
      <c r="S33" t="s">
        <v>534</v>
      </c>
      <c r="T33" t="s">
        <v>540</v>
      </c>
      <c r="U33">
        <v>3</v>
      </c>
      <c r="V33">
        <v>2025</v>
      </c>
      <c r="W33" s="2" t="str">
        <f t="shared" si="0"/>
        <v>Feb</v>
      </c>
      <c r="X33">
        <f t="shared" si="1"/>
        <v>0.36345049687974662</v>
      </c>
      <c r="Y33" t="str">
        <f>UPPER(Table1[[#This Row],[CustomerName]])</f>
        <v>ARYAN PATEL</v>
      </c>
      <c r="Z33" t="str">
        <f t="shared" si="2"/>
        <v>Aryan</v>
      </c>
    </row>
    <row r="34" spans="1:26" x14ac:dyDescent="0.3">
      <c r="A34" t="s">
        <v>53</v>
      </c>
      <c r="B34" s="1">
        <v>45722</v>
      </c>
      <c r="C34" t="s">
        <v>298</v>
      </c>
      <c r="D34" t="s">
        <v>366</v>
      </c>
      <c r="E34" t="s">
        <v>425</v>
      </c>
      <c r="F34" t="s">
        <v>482</v>
      </c>
      <c r="G34">
        <v>22</v>
      </c>
      <c r="H34" t="s">
        <v>483</v>
      </c>
      <c r="I34" t="s">
        <v>490</v>
      </c>
      <c r="J34" t="s">
        <v>504</v>
      </c>
      <c r="K34" t="s">
        <v>516</v>
      </c>
      <c r="L34">
        <v>5</v>
      </c>
      <c r="M34">
        <v>935.94</v>
      </c>
      <c r="N34">
        <v>0</v>
      </c>
      <c r="O34">
        <v>4679.7</v>
      </c>
      <c r="P34">
        <v>3809.2</v>
      </c>
      <c r="Q34">
        <v>870.5</v>
      </c>
      <c r="R34" t="s">
        <v>528</v>
      </c>
      <c r="S34" t="s">
        <v>532</v>
      </c>
      <c r="T34" t="s">
        <v>538</v>
      </c>
      <c r="U34">
        <v>4</v>
      </c>
      <c r="V34">
        <v>2025</v>
      </c>
      <c r="W34" s="2" t="str">
        <f t="shared" si="0"/>
        <v>Mar</v>
      </c>
      <c r="X34">
        <f t="shared" si="1"/>
        <v>0.18601619761950552</v>
      </c>
      <c r="Y34" t="str">
        <f>UPPER(Table1[[#This Row],[CustomerName]])</f>
        <v>ADITYA SHAH</v>
      </c>
      <c r="Z34" t="str">
        <f t="shared" si="2"/>
        <v>Aditya</v>
      </c>
    </row>
    <row r="35" spans="1:26" x14ac:dyDescent="0.3">
      <c r="A35" t="s">
        <v>54</v>
      </c>
      <c r="B35" s="1">
        <v>45968</v>
      </c>
      <c r="C35" t="s">
        <v>299</v>
      </c>
      <c r="D35" t="s">
        <v>388</v>
      </c>
      <c r="E35" t="s">
        <v>447</v>
      </c>
      <c r="F35" t="s">
        <v>482</v>
      </c>
      <c r="G35">
        <v>43</v>
      </c>
      <c r="H35" t="s">
        <v>486</v>
      </c>
      <c r="I35" t="s">
        <v>500</v>
      </c>
      <c r="J35" t="s">
        <v>506</v>
      </c>
      <c r="K35" t="s">
        <v>519</v>
      </c>
      <c r="L35">
        <v>5</v>
      </c>
      <c r="M35">
        <v>1295.3499999999999</v>
      </c>
      <c r="N35">
        <v>0.1</v>
      </c>
      <c r="O35">
        <v>5829.07</v>
      </c>
      <c r="P35">
        <v>4296.2</v>
      </c>
      <c r="Q35">
        <v>1532.87</v>
      </c>
      <c r="R35" t="s">
        <v>530</v>
      </c>
      <c r="S35" t="s">
        <v>535</v>
      </c>
      <c r="T35" t="s">
        <v>538</v>
      </c>
      <c r="U35">
        <v>4</v>
      </c>
      <c r="V35">
        <v>2025</v>
      </c>
      <c r="W35" s="2" t="str">
        <f t="shared" si="0"/>
        <v>Nov</v>
      </c>
      <c r="X35">
        <f t="shared" si="1"/>
        <v>0.26296990772112877</v>
      </c>
      <c r="Y35" t="str">
        <f>UPPER(Table1[[#This Row],[CustomerName]])</f>
        <v>ARJUN SHAH</v>
      </c>
      <c r="Z35" t="str">
        <f t="shared" si="2"/>
        <v>Arjun</v>
      </c>
    </row>
    <row r="36" spans="1:26" x14ac:dyDescent="0.3">
      <c r="A36" t="s">
        <v>55</v>
      </c>
      <c r="B36" s="1">
        <v>45735</v>
      </c>
      <c r="C36" t="s">
        <v>290</v>
      </c>
      <c r="D36" t="s">
        <v>389</v>
      </c>
      <c r="E36" t="s">
        <v>448</v>
      </c>
      <c r="F36" t="s">
        <v>481</v>
      </c>
      <c r="G36">
        <v>57</v>
      </c>
      <c r="H36" t="s">
        <v>484</v>
      </c>
      <c r="I36" t="s">
        <v>491</v>
      </c>
      <c r="J36" t="s">
        <v>505</v>
      </c>
      <c r="K36" t="s">
        <v>518</v>
      </c>
      <c r="L36">
        <v>5</v>
      </c>
      <c r="M36">
        <v>52423.6</v>
      </c>
      <c r="N36">
        <v>0</v>
      </c>
      <c r="O36">
        <v>262118</v>
      </c>
      <c r="P36">
        <v>197726.13</v>
      </c>
      <c r="Q36">
        <v>64391.87</v>
      </c>
      <c r="R36" t="s">
        <v>531</v>
      </c>
      <c r="S36" t="s">
        <v>536</v>
      </c>
      <c r="T36" t="s">
        <v>540</v>
      </c>
      <c r="U36">
        <v>3</v>
      </c>
      <c r="V36">
        <v>2025</v>
      </c>
      <c r="W36" s="2" t="str">
        <f t="shared" si="0"/>
        <v>Mar</v>
      </c>
      <c r="X36">
        <f t="shared" si="1"/>
        <v>0.24565985548493427</v>
      </c>
      <c r="Y36" t="str">
        <f>UPPER(Table1[[#This Row],[CustomerName]])</f>
        <v>KAVYA PATEL</v>
      </c>
      <c r="Z36" t="str">
        <f t="shared" si="2"/>
        <v>Kavya</v>
      </c>
    </row>
    <row r="37" spans="1:26" x14ac:dyDescent="0.3">
      <c r="A37" t="s">
        <v>56</v>
      </c>
      <c r="B37" s="1">
        <v>45819</v>
      </c>
      <c r="C37" t="s">
        <v>276</v>
      </c>
      <c r="D37" t="s">
        <v>374</v>
      </c>
      <c r="E37" t="s">
        <v>433</v>
      </c>
      <c r="F37" t="s">
        <v>482</v>
      </c>
      <c r="G37">
        <v>23</v>
      </c>
      <c r="H37" t="s">
        <v>486</v>
      </c>
      <c r="I37" t="s">
        <v>495</v>
      </c>
      <c r="J37" t="s">
        <v>504</v>
      </c>
      <c r="K37" t="s">
        <v>517</v>
      </c>
      <c r="L37">
        <v>4</v>
      </c>
      <c r="M37">
        <v>315.19</v>
      </c>
      <c r="N37">
        <v>0.08</v>
      </c>
      <c r="O37">
        <v>1159.9000000000001</v>
      </c>
      <c r="P37">
        <v>849.26</v>
      </c>
      <c r="Q37">
        <v>310.64</v>
      </c>
      <c r="R37" t="s">
        <v>528</v>
      </c>
      <c r="S37" t="s">
        <v>532</v>
      </c>
      <c r="T37" t="s">
        <v>538</v>
      </c>
      <c r="U37">
        <v>4</v>
      </c>
      <c r="V37">
        <v>2025</v>
      </c>
      <c r="W37" s="2" t="str">
        <f t="shared" si="0"/>
        <v>Jun</v>
      </c>
      <c r="X37">
        <f t="shared" si="1"/>
        <v>0.26781619105095261</v>
      </c>
      <c r="Y37" t="str">
        <f>UPPER(Table1[[#This Row],[CustomerName]])</f>
        <v>MEERA SHAH</v>
      </c>
      <c r="Z37" t="str">
        <f t="shared" si="2"/>
        <v>Meera</v>
      </c>
    </row>
    <row r="38" spans="1:26" x14ac:dyDescent="0.3">
      <c r="A38" t="s">
        <v>57</v>
      </c>
      <c r="B38" s="1">
        <v>45864</v>
      </c>
      <c r="C38" t="s">
        <v>300</v>
      </c>
      <c r="D38" t="s">
        <v>377</v>
      </c>
      <c r="E38" t="s">
        <v>436</v>
      </c>
      <c r="F38" t="s">
        <v>481</v>
      </c>
      <c r="G38">
        <v>58</v>
      </c>
      <c r="H38" t="s">
        <v>483</v>
      </c>
      <c r="I38" t="s">
        <v>487</v>
      </c>
      <c r="J38" t="s">
        <v>502</v>
      </c>
      <c r="K38" t="s">
        <v>507</v>
      </c>
      <c r="L38">
        <v>3</v>
      </c>
      <c r="M38">
        <v>2980.61</v>
      </c>
      <c r="N38">
        <v>0.08</v>
      </c>
      <c r="O38">
        <v>8226.48</v>
      </c>
      <c r="P38">
        <v>6713.57</v>
      </c>
      <c r="Q38">
        <v>1512.91</v>
      </c>
      <c r="R38" t="s">
        <v>531</v>
      </c>
      <c r="S38" t="s">
        <v>533</v>
      </c>
      <c r="T38" t="s">
        <v>538</v>
      </c>
      <c r="U38">
        <v>4</v>
      </c>
      <c r="V38">
        <v>2025</v>
      </c>
      <c r="W38" s="2" t="str">
        <f t="shared" si="0"/>
        <v>Jul</v>
      </c>
      <c r="X38">
        <f t="shared" si="1"/>
        <v>0.18390733339168153</v>
      </c>
      <c r="Y38" t="str">
        <f>UPPER(Table1[[#This Row],[CustomerName]])</f>
        <v>AANYA PATEL</v>
      </c>
      <c r="Z38" t="str">
        <f t="shared" si="2"/>
        <v>Aanya</v>
      </c>
    </row>
    <row r="39" spans="1:26" x14ac:dyDescent="0.3">
      <c r="A39" t="s">
        <v>58</v>
      </c>
      <c r="B39" s="1">
        <v>45965</v>
      </c>
      <c r="C39" t="s">
        <v>290</v>
      </c>
      <c r="D39" t="s">
        <v>390</v>
      </c>
      <c r="E39" t="s">
        <v>449</v>
      </c>
      <c r="F39" t="s">
        <v>481</v>
      </c>
      <c r="G39">
        <v>54</v>
      </c>
      <c r="H39" t="s">
        <v>483</v>
      </c>
      <c r="I39" t="s">
        <v>493</v>
      </c>
      <c r="J39" t="s">
        <v>503</v>
      </c>
      <c r="K39" t="s">
        <v>521</v>
      </c>
      <c r="L39">
        <v>4</v>
      </c>
      <c r="M39">
        <v>8709.06</v>
      </c>
      <c r="N39">
        <v>0.02</v>
      </c>
      <c r="O39">
        <v>34139.519999999997</v>
      </c>
      <c r="P39">
        <v>27054.639999999999</v>
      </c>
      <c r="Q39">
        <v>7084.88</v>
      </c>
      <c r="R39" t="s">
        <v>530</v>
      </c>
      <c r="S39" t="s">
        <v>535</v>
      </c>
      <c r="T39" t="s">
        <v>540</v>
      </c>
      <c r="U39">
        <v>5</v>
      </c>
      <c r="V39">
        <v>2025</v>
      </c>
      <c r="W39" s="2" t="str">
        <f t="shared" si="0"/>
        <v>Nov</v>
      </c>
      <c r="X39">
        <f t="shared" si="1"/>
        <v>0.20752722943966409</v>
      </c>
      <c r="Y39" t="str">
        <f>UPPER(Table1[[#This Row],[CustomerName]])</f>
        <v>KAVYA SHAH</v>
      </c>
      <c r="Z39" t="str">
        <f t="shared" si="2"/>
        <v>Kavya</v>
      </c>
    </row>
    <row r="40" spans="1:26" x14ac:dyDescent="0.3">
      <c r="A40" t="s">
        <v>59</v>
      </c>
      <c r="B40" s="1">
        <v>45930</v>
      </c>
      <c r="C40" t="s">
        <v>301</v>
      </c>
      <c r="D40" t="s">
        <v>383</v>
      </c>
      <c r="E40" t="s">
        <v>442</v>
      </c>
      <c r="F40" t="s">
        <v>481</v>
      </c>
      <c r="G40">
        <v>20</v>
      </c>
      <c r="H40" t="s">
        <v>484</v>
      </c>
      <c r="I40" t="s">
        <v>499</v>
      </c>
      <c r="J40" t="s">
        <v>503</v>
      </c>
      <c r="K40" t="s">
        <v>512</v>
      </c>
      <c r="L40">
        <v>5</v>
      </c>
      <c r="M40">
        <v>6341.31</v>
      </c>
      <c r="N40">
        <v>0.15</v>
      </c>
      <c r="O40">
        <v>26950.57</v>
      </c>
      <c r="P40">
        <v>20123.46</v>
      </c>
      <c r="Q40">
        <v>6827.11</v>
      </c>
      <c r="R40" t="s">
        <v>528</v>
      </c>
      <c r="S40" t="s">
        <v>534</v>
      </c>
      <c r="T40" t="s">
        <v>538</v>
      </c>
      <c r="U40">
        <v>4</v>
      </c>
      <c r="V40">
        <v>2025</v>
      </c>
      <c r="W40" s="2" t="str">
        <f t="shared" si="0"/>
        <v>Sep</v>
      </c>
      <c r="X40">
        <f t="shared" si="1"/>
        <v>0.2533196886002782</v>
      </c>
      <c r="Y40" t="str">
        <f>UPPER(Table1[[#This Row],[CustomerName]])</f>
        <v>DEV PATEL</v>
      </c>
      <c r="Z40" t="str">
        <f t="shared" si="2"/>
        <v>Dev</v>
      </c>
    </row>
    <row r="41" spans="1:26" x14ac:dyDescent="0.3">
      <c r="A41" t="s">
        <v>60</v>
      </c>
      <c r="B41" s="1">
        <v>45752</v>
      </c>
      <c r="C41" t="s">
        <v>302</v>
      </c>
      <c r="D41" t="s">
        <v>378</v>
      </c>
      <c r="E41" t="s">
        <v>437</v>
      </c>
      <c r="F41" t="s">
        <v>482</v>
      </c>
      <c r="G41">
        <v>57</v>
      </c>
      <c r="H41" t="s">
        <v>485</v>
      </c>
      <c r="I41" t="s">
        <v>492</v>
      </c>
      <c r="J41" t="s">
        <v>502</v>
      </c>
      <c r="K41" t="s">
        <v>514</v>
      </c>
      <c r="L41">
        <v>4</v>
      </c>
      <c r="M41">
        <v>1462.96</v>
      </c>
      <c r="N41">
        <v>0.05</v>
      </c>
      <c r="O41">
        <v>5559.25</v>
      </c>
      <c r="P41">
        <v>4418.8500000000004</v>
      </c>
      <c r="Q41">
        <v>1140.4000000000001</v>
      </c>
      <c r="R41" t="s">
        <v>528</v>
      </c>
      <c r="S41" t="s">
        <v>535</v>
      </c>
      <c r="T41" t="s">
        <v>539</v>
      </c>
      <c r="U41">
        <v>5</v>
      </c>
      <c r="V41">
        <v>2025</v>
      </c>
      <c r="W41" s="2" t="str">
        <f t="shared" si="0"/>
        <v>Apr</v>
      </c>
      <c r="X41">
        <f t="shared" si="1"/>
        <v>0.20513558483608402</v>
      </c>
      <c r="Y41" t="str">
        <f>UPPER(Table1[[#This Row],[CustomerName]])</f>
        <v>ANAYA PATEL</v>
      </c>
      <c r="Z41" t="str">
        <f t="shared" si="2"/>
        <v>Anaya</v>
      </c>
    </row>
    <row r="42" spans="1:26" x14ac:dyDescent="0.3">
      <c r="A42" t="s">
        <v>61</v>
      </c>
      <c r="B42" s="1">
        <v>45934</v>
      </c>
      <c r="C42" t="s">
        <v>283</v>
      </c>
      <c r="D42" t="s">
        <v>390</v>
      </c>
      <c r="E42" t="s">
        <v>449</v>
      </c>
      <c r="F42" t="s">
        <v>481</v>
      </c>
      <c r="G42">
        <v>54</v>
      </c>
      <c r="H42" t="s">
        <v>483</v>
      </c>
      <c r="I42" t="s">
        <v>493</v>
      </c>
      <c r="J42" t="s">
        <v>505</v>
      </c>
      <c r="K42" t="s">
        <v>518</v>
      </c>
      <c r="L42">
        <v>5</v>
      </c>
      <c r="M42">
        <v>55428.69</v>
      </c>
      <c r="N42">
        <v>0.1</v>
      </c>
      <c r="O42">
        <v>249429.11</v>
      </c>
      <c r="P42">
        <v>177632.38</v>
      </c>
      <c r="Q42">
        <v>71796.73</v>
      </c>
      <c r="R42" t="s">
        <v>531</v>
      </c>
      <c r="S42" t="s">
        <v>537</v>
      </c>
      <c r="T42" t="s">
        <v>538</v>
      </c>
      <c r="U42">
        <v>4</v>
      </c>
      <c r="V42">
        <v>2025</v>
      </c>
      <c r="W42" s="2" t="str">
        <f t="shared" si="0"/>
        <v>Oct</v>
      </c>
      <c r="X42">
        <f t="shared" si="1"/>
        <v>0.28784422956887429</v>
      </c>
      <c r="Y42" t="str">
        <f>UPPER(Table1[[#This Row],[CustomerName]])</f>
        <v>KAVYA SHAH</v>
      </c>
      <c r="Z42" t="str">
        <f t="shared" si="2"/>
        <v>Kavya</v>
      </c>
    </row>
    <row r="43" spans="1:26" x14ac:dyDescent="0.3">
      <c r="A43" t="s">
        <v>62</v>
      </c>
      <c r="B43" s="1">
        <v>45730</v>
      </c>
      <c r="C43" t="s">
        <v>303</v>
      </c>
      <c r="D43" t="s">
        <v>391</v>
      </c>
      <c r="E43" t="s">
        <v>450</v>
      </c>
      <c r="F43" t="s">
        <v>481</v>
      </c>
      <c r="G43">
        <v>30</v>
      </c>
      <c r="H43" t="s">
        <v>486</v>
      </c>
      <c r="I43" t="s">
        <v>497</v>
      </c>
      <c r="J43" t="s">
        <v>502</v>
      </c>
      <c r="K43" t="s">
        <v>515</v>
      </c>
      <c r="L43">
        <v>3</v>
      </c>
      <c r="M43">
        <v>1921.21</v>
      </c>
      <c r="N43">
        <v>0.1</v>
      </c>
      <c r="O43">
        <v>5187.2700000000004</v>
      </c>
      <c r="P43">
        <v>3218.8</v>
      </c>
      <c r="Q43">
        <v>1968.47</v>
      </c>
      <c r="R43" t="s">
        <v>527</v>
      </c>
      <c r="S43" t="s">
        <v>532</v>
      </c>
      <c r="T43" t="s">
        <v>540</v>
      </c>
      <c r="U43">
        <v>4</v>
      </c>
      <c r="V43">
        <v>2025</v>
      </c>
      <c r="W43" s="2" t="str">
        <f t="shared" si="0"/>
        <v>Mar</v>
      </c>
      <c r="X43">
        <f t="shared" si="1"/>
        <v>0.37948092156375124</v>
      </c>
      <c r="Y43" t="str">
        <f>UPPER(Table1[[#This Row],[CustomerName]])</f>
        <v>MANAV SHAH</v>
      </c>
      <c r="Z43" t="str">
        <f t="shared" si="2"/>
        <v>Manav</v>
      </c>
    </row>
    <row r="44" spans="1:26" x14ac:dyDescent="0.3">
      <c r="A44" t="s">
        <v>63</v>
      </c>
      <c r="B44" s="1">
        <v>45864</v>
      </c>
      <c r="C44" t="s">
        <v>304</v>
      </c>
      <c r="D44" t="s">
        <v>392</v>
      </c>
      <c r="E44" t="s">
        <v>451</v>
      </c>
      <c r="F44" t="s">
        <v>482</v>
      </c>
      <c r="G44">
        <v>19</v>
      </c>
      <c r="H44" t="s">
        <v>483</v>
      </c>
      <c r="I44" t="s">
        <v>493</v>
      </c>
      <c r="J44" t="s">
        <v>505</v>
      </c>
      <c r="K44" t="s">
        <v>522</v>
      </c>
      <c r="L44">
        <v>2</v>
      </c>
      <c r="M44">
        <v>5197.9799999999996</v>
      </c>
      <c r="N44">
        <v>0.15</v>
      </c>
      <c r="O44">
        <v>8836.57</v>
      </c>
      <c r="P44">
        <v>5739.77</v>
      </c>
      <c r="Q44">
        <v>3096.8</v>
      </c>
      <c r="R44" t="s">
        <v>528</v>
      </c>
      <c r="S44" t="s">
        <v>534</v>
      </c>
      <c r="T44" t="s">
        <v>539</v>
      </c>
      <c r="U44">
        <v>4</v>
      </c>
      <c r="V44">
        <v>2025</v>
      </c>
      <c r="W44" s="2" t="str">
        <f t="shared" si="0"/>
        <v>Jul</v>
      </c>
      <c r="X44">
        <f t="shared" si="1"/>
        <v>0.35045272090867841</v>
      </c>
      <c r="Y44" t="str">
        <f>UPPER(Table1[[#This Row],[CustomerName]])</f>
        <v>MAHI SHAH</v>
      </c>
      <c r="Z44" t="str">
        <f t="shared" si="2"/>
        <v>Mahi</v>
      </c>
    </row>
    <row r="45" spans="1:26" x14ac:dyDescent="0.3">
      <c r="A45" t="s">
        <v>64</v>
      </c>
      <c r="B45" s="1">
        <v>45931</v>
      </c>
      <c r="C45" t="s">
        <v>281</v>
      </c>
      <c r="D45" t="s">
        <v>393</v>
      </c>
      <c r="E45" t="s">
        <v>452</v>
      </c>
      <c r="F45" t="s">
        <v>481</v>
      </c>
      <c r="G45">
        <v>50</v>
      </c>
      <c r="H45" t="s">
        <v>485</v>
      </c>
      <c r="I45" t="s">
        <v>496</v>
      </c>
      <c r="J45" t="s">
        <v>502</v>
      </c>
      <c r="K45" t="s">
        <v>507</v>
      </c>
      <c r="L45">
        <v>1</v>
      </c>
      <c r="M45">
        <v>2906.36</v>
      </c>
      <c r="N45">
        <v>0.08</v>
      </c>
      <c r="O45">
        <v>2673.85</v>
      </c>
      <c r="P45">
        <v>1668.52</v>
      </c>
      <c r="Q45">
        <v>1005.33</v>
      </c>
      <c r="R45" t="s">
        <v>529</v>
      </c>
      <c r="S45" t="s">
        <v>532</v>
      </c>
      <c r="T45" t="s">
        <v>540</v>
      </c>
      <c r="U45">
        <v>4</v>
      </c>
      <c r="V45">
        <v>2025</v>
      </c>
      <c r="W45" s="2" t="str">
        <f t="shared" si="0"/>
        <v>Oct</v>
      </c>
      <c r="X45">
        <f t="shared" si="1"/>
        <v>0.3759859378798362</v>
      </c>
      <c r="Y45" t="str">
        <f>UPPER(Table1[[#This Row],[CustomerName]])</f>
        <v>DIYA SHAH</v>
      </c>
      <c r="Z45" t="str">
        <f t="shared" si="2"/>
        <v>Diya</v>
      </c>
    </row>
    <row r="46" spans="1:26" x14ac:dyDescent="0.3">
      <c r="A46" t="s">
        <v>65</v>
      </c>
      <c r="B46" s="1">
        <v>45682</v>
      </c>
      <c r="C46" t="s">
        <v>305</v>
      </c>
      <c r="D46" t="s">
        <v>394</v>
      </c>
      <c r="E46" t="s">
        <v>453</v>
      </c>
      <c r="F46" t="s">
        <v>481</v>
      </c>
      <c r="G46">
        <v>18</v>
      </c>
      <c r="H46" t="s">
        <v>485</v>
      </c>
      <c r="I46" t="s">
        <v>496</v>
      </c>
      <c r="J46" t="s">
        <v>502</v>
      </c>
      <c r="K46" t="s">
        <v>514</v>
      </c>
      <c r="L46">
        <v>2</v>
      </c>
      <c r="M46">
        <v>1569.4</v>
      </c>
      <c r="N46">
        <v>0.1</v>
      </c>
      <c r="O46">
        <v>2824.92</v>
      </c>
      <c r="P46">
        <v>2022.41</v>
      </c>
      <c r="Q46">
        <v>802.51</v>
      </c>
      <c r="R46" t="s">
        <v>527</v>
      </c>
      <c r="S46" t="s">
        <v>537</v>
      </c>
      <c r="T46" t="s">
        <v>538</v>
      </c>
      <c r="U46">
        <v>5</v>
      </c>
      <c r="V46">
        <v>2025</v>
      </c>
      <c r="W46" s="2" t="str">
        <f t="shared" si="0"/>
        <v>Jan</v>
      </c>
      <c r="X46">
        <f t="shared" si="1"/>
        <v>0.28408238109397788</v>
      </c>
      <c r="Y46" t="str">
        <f>UPPER(Table1[[#This Row],[CustomerName]])</f>
        <v>HARSH SHAH</v>
      </c>
      <c r="Z46" t="str">
        <f t="shared" si="2"/>
        <v>Harsh</v>
      </c>
    </row>
    <row r="47" spans="1:26" x14ac:dyDescent="0.3">
      <c r="A47" t="s">
        <v>66</v>
      </c>
      <c r="B47" s="1">
        <v>45893</v>
      </c>
      <c r="C47" t="s">
        <v>306</v>
      </c>
      <c r="D47" t="s">
        <v>365</v>
      </c>
      <c r="E47" t="s">
        <v>424</v>
      </c>
      <c r="F47" t="s">
        <v>481</v>
      </c>
      <c r="G47">
        <v>41</v>
      </c>
      <c r="H47" t="s">
        <v>485</v>
      </c>
      <c r="I47" t="s">
        <v>489</v>
      </c>
      <c r="J47" t="s">
        <v>503</v>
      </c>
      <c r="K47" t="s">
        <v>512</v>
      </c>
      <c r="L47">
        <v>4</v>
      </c>
      <c r="M47">
        <v>6651.75</v>
      </c>
      <c r="N47">
        <v>0.02</v>
      </c>
      <c r="O47">
        <v>26074.86</v>
      </c>
      <c r="P47">
        <v>17440.71</v>
      </c>
      <c r="Q47">
        <v>8634.15</v>
      </c>
      <c r="R47" t="s">
        <v>528</v>
      </c>
      <c r="S47" t="s">
        <v>535</v>
      </c>
      <c r="T47" t="s">
        <v>538</v>
      </c>
      <c r="U47">
        <v>5</v>
      </c>
      <c r="V47">
        <v>2025</v>
      </c>
      <c r="W47" s="2" t="str">
        <f t="shared" si="0"/>
        <v>Aug</v>
      </c>
      <c r="X47">
        <f t="shared" si="1"/>
        <v>0.33112929465393098</v>
      </c>
      <c r="Y47" t="str">
        <f>UPPER(Table1[[#This Row],[CustomerName]])</f>
        <v>RIYA SHAH</v>
      </c>
      <c r="Z47" t="str">
        <f t="shared" si="2"/>
        <v>Riya</v>
      </c>
    </row>
    <row r="48" spans="1:26" x14ac:dyDescent="0.3">
      <c r="A48" t="s">
        <v>67</v>
      </c>
      <c r="B48" s="1">
        <v>45807</v>
      </c>
      <c r="C48" t="s">
        <v>307</v>
      </c>
      <c r="D48" t="s">
        <v>381</v>
      </c>
      <c r="E48" t="s">
        <v>440</v>
      </c>
      <c r="F48" t="s">
        <v>482</v>
      </c>
      <c r="G48">
        <v>54</v>
      </c>
      <c r="H48" t="s">
        <v>485</v>
      </c>
      <c r="I48" t="s">
        <v>498</v>
      </c>
      <c r="J48" t="s">
        <v>503</v>
      </c>
      <c r="K48" t="s">
        <v>523</v>
      </c>
      <c r="L48">
        <v>4</v>
      </c>
      <c r="M48">
        <v>1901.04</v>
      </c>
      <c r="N48">
        <v>0.15</v>
      </c>
      <c r="O48">
        <v>6463.54</v>
      </c>
      <c r="P48">
        <v>4375.9399999999996</v>
      </c>
      <c r="Q48">
        <v>2087.6</v>
      </c>
      <c r="R48" t="s">
        <v>529</v>
      </c>
      <c r="S48" t="s">
        <v>534</v>
      </c>
      <c r="T48" t="s">
        <v>538</v>
      </c>
      <c r="U48">
        <v>4</v>
      </c>
      <c r="V48">
        <v>2025</v>
      </c>
      <c r="W48" s="2" t="str">
        <f t="shared" si="0"/>
        <v>May</v>
      </c>
      <c r="X48">
        <f t="shared" si="1"/>
        <v>0.32298090520055572</v>
      </c>
      <c r="Y48" t="str">
        <f>UPPER(Table1[[#This Row],[CustomerName]])</f>
        <v>AANYA SHAH</v>
      </c>
      <c r="Z48" t="str">
        <f t="shared" si="2"/>
        <v>Aanya</v>
      </c>
    </row>
    <row r="49" spans="1:26" x14ac:dyDescent="0.3">
      <c r="A49" t="s">
        <v>68</v>
      </c>
      <c r="B49" s="1">
        <v>45880</v>
      </c>
      <c r="C49" t="s">
        <v>308</v>
      </c>
      <c r="D49" t="s">
        <v>395</v>
      </c>
      <c r="E49" t="s">
        <v>454</v>
      </c>
      <c r="F49" t="s">
        <v>481</v>
      </c>
      <c r="G49">
        <v>49</v>
      </c>
      <c r="H49" t="s">
        <v>485</v>
      </c>
      <c r="I49" t="s">
        <v>498</v>
      </c>
      <c r="J49" t="s">
        <v>502</v>
      </c>
      <c r="K49" t="s">
        <v>507</v>
      </c>
      <c r="L49">
        <v>4</v>
      </c>
      <c r="M49">
        <v>2578.37</v>
      </c>
      <c r="N49">
        <v>0.15</v>
      </c>
      <c r="O49">
        <v>8766.4599999999991</v>
      </c>
      <c r="P49">
        <v>5887.38</v>
      </c>
      <c r="Q49">
        <v>2879.08</v>
      </c>
      <c r="R49" t="s">
        <v>528</v>
      </c>
      <c r="S49" t="s">
        <v>537</v>
      </c>
      <c r="T49" t="s">
        <v>539</v>
      </c>
      <c r="U49">
        <v>4</v>
      </c>
      <c r="V49">
        <v>2025</v>
      </c>
      <c r="W49" s="2" t="str">
        <f t="shared" si="0"/>
        <v>Aug</v>
      </c>
      <c r="X49">
        <f t="shared" si="1"/>
        <v>0.32841990951877953</v>
      </c>
      <c r="Y49" t="str">
        <f>UPPER(Table1[[#This Row],[CustomerName]])</f>
        <v>ROHAN SHAH</v>
      </c>
      <c r="Z49" t="str">
        <f t="shared" si="2"/>
        <v>Rohan</v>
      </c>
    </row>
    <row r="50" spans="1:26" x14ac:dyDescent="0.3">
      <c r="A50" t="s">
        <v>69</v>
      </c>
      <c r="B50" s="1">
        <v>45683</v>
      </c>
      <c r="C50" t="s">
        <v>297</v>
      </c>
      <c r="D50" t="s">
        <v>396</v>
      </c>
      <c r="E50" t="s">
        <v>455</v>
      </c>
      <c r="F50" t="s">
        <v>482</v>
      </c>
      <c r="G50">
        <v>59</v>
      </c>
      <c r="H50" t="s">
        <v>486</v>
      </c>
      <c r="I50" t="s">
        <v>500</v>
      </c>
      <c r="J50" t="s">
        <v>506</v>
      </c>
      <c r="K50" t="s">
        <v>524</v>
      </c>
      <c r="L50">
        <v>2</v>
      </c>
      <c r="M50">
        <v>534.48</v>
      </c>
      <c r="N50">
        <v>0.05</v>
      </c>
      <c r="O50">
        <v>1015.51</v>
      </c>
      <c r="P50">
        <v>670.14</v>
      </c>
      <c r="Q50">
        <v>345.37</v>
      </c>
      <c r="R50" t="s">
        <v>527</v>
      </c>
      <c r="S50" t="s">
        <v>532</v>
      </c>
      <c r="T50" t="s">
        <v>538</v>
      </c>
      <c r="U50">
        <v>5</v>
      </c>
      <c r="V50">
        <v>2025</v>
      </c>
      <c r="W50" s="2" t="str">
        <f t="shared" si="0"/>
        <v>Jan</v>
      </c>
      <c r="X50">
        <f t="shared" si="1"/>
        <v>0.34009512461718744</v>
      </c>
      <c r="Y50" t="str">
        <f>UPPER(Table1[[#This Row],[CustomerName]])</f>
        <v>DHRUV PATEL</v>
      </c>
      <c r="Z50" t="str">
        <f t="shared" si="2"/>
        <v>Dhruv</v>
      </c>
    </row>
    <row r="51" spans="1:26" x14ac:dyDescent="0.3">
      <c r="A51" t="s">
        <v>70</v>
      </c>
      <c r="B51" s="1">
        <v>45977</v>
      </c>
      <c r="C51" t="s">
        <v>309</v>
      </c>
      <c r="D51" t="s">
        <v>397</v>
      </c>
      <c r="E51" t="s">
        <v>456</v>
      </c>
      <c r="F51" t="s">
        <v>482</v>
      </c>
      <c r="G51">
        <v>24</v>
      </c>
      <c r="H51" t="s">
        <v>485</v>
      </c>
      <c r="I51" t="s">
        <v>489</v>
      </c>
      <c r="J51" t="s">
        <v>502</v>
      </c>
      <c r="K51" t="s">
        <v>507</v>
      </c>
      <c r="L51">
        <v>4</v>
      </c>
      <c r="M51">
        <v>2719.65</v>
      </c>
      <c r="N51">
        <v>0.05</v>
      </c>
      <c r="O51">
        <v>10334.67</v>
      </c>
      <c r="P51">
        <v>6514.61</v>
      </c>
      <c r="Q51">
        <v>3820.06</v>
      </c>
      <c r="R51" t="s">
        <v>531</v>
      </c>
      <c r="S51" t="s">
        <v>533</v>
      </c>
      <c r="T51" t="s">
        <v>538</v>
      </c>
      <c r="U51">
        <v>4</v>
      </c>
      <c r="V51">
        <v>2025</v>
      </c>
      <c r="W51" s="2" t="str">
        <f t="shared" si="0"/>
        <v>Nov</v>
      </c>
      <c r="X51">
        <f t="shared" si="1"/>
        <v>0.36963541167739267</v>
      </c>
      <c r="Y51" t="str">
        <f>UPPER(Table1[[#This Row],[CustomerName]])</f>
        <v>HARSH PATEL</v>
      </c>
      <c r="Z51" t="str">
        <f t="shared" si="2"/>
        <v>Harsh</v>
      </c>
    </row>
    <row r="52" spans="1:26" x14ac:dyDescent="0.3">
      <c r="A52" t="s">
        <v>71</v>
      </c>
      <c r="B52" s="1">
        <v>45670</v>
      </c>
      <c r="C52" t="s">
        <v>310</v>
      </c>
      <c r="D52" t="s">
        <v>367</v>
      </c>
      <c r="E52" t="s">
        <v>426</v>
      </c>
      <c r="F52" t="s">
        <v>482</v>
      </c>
      <c r="G52">
        <v>56</v>
      </c>
      <c r="H52" t="s">
        <v>483</v>
      </c>
      <c r="I52" t="s">
        <v>490</v>
      </c>
      <c r="J52" t="s">
        <v>505</v>
      </c>
      <c r="K52" t="s">
        <v>520</v>
      </c>
      <c r="L52">
        <v>5</v>
      </c>
      <c r="M52">
        <v>2301.08</v>
      </c>
      <c r="N52">
        <v>0</v>
      </c>
      <c r="O52">
        <v>11505.4</v>
      </c>
      <c r="P52">
        <v>8503.9599999999991</v>
      </c>
      <c r="Q52">
        <v>3001.44</v>
      </c>
      <c r="R52" t="s">
        <v>528</v>
      </c>
      <c r="S52" t="s">
        <v>537</v>
      </c>
      <c r="T52" t="s">
        <v>540</v>
      </c>
      <c r="U52">
        <v>5</v>
      </c>
      <c r="V52">
        <v>2025</v>
      </c>
      <c r="W52" s="2" t="str">
        <f t="shared" si="0"/>
        <v>Jan</v>
      </c>
      <c r="X52">
        <f t="shared" si="1"/>
        <v>0.26087228605698193</v>
      </c>
      <c r="Y52" t="str">
        <f>UPPER(Table1[[#This Row],[CustomerName]])</f>
        <v>VIVAAN PATEL</v>
      </c>
      <c r="Z52" t="str">
        <f t="shared" si="2"/>
        <v>Vivaan</v>
      </c>
    </row>
    <row r="53" spans="1:26" x14ac:dyDescent="0.3">
      <c r="A53" t="s">
        <v>72</v>
      </c>
      <c r="B53" s="1">
        <v>45893</v>
      </c>
      <c r="C53" t="s">
        <v>311</v>
      </c>
      <c r="D53" t="s">
        <v>398</v>
      </c>
      <c r="E53" t="s">
        <v>457</v>
      </c>
      <c r="F53" t="s">
        <v>482</v>
      </c>
      <c r="G53">
        <v>23</v>
      </c>
      <c r="H53" t="s">
        <v>484</v>
      </c>
      <c r="I53" t="s">
        <v>488</v>
      </c>
      <c r="J53" t="s">
        <v>504</v>
      </c>
      <c r="K53" t="s">
        <v>516</v>
      </c>
      <c r="L53">
        <v>1</v>
      </c>
      <c r="M53">
        <v>857.52</v>
      </c>
      <c r="N53">
        <v>0.05</v>
      </c>
      <c r="O53">
        <v>814.64</v>
      </c>
      <c r="P53">
        <v>515.91</v>
      </c>
      <c r="Q53">
        <v>298.73</v>
      </c>
      <c r="R53" t="s">
        <v>527</v>
      </c>
      <c r="S53" t="s">
        <v>535</v>
      </c>
      <c r="T53" t="s">
        <v>540</v>
      </c>
      <c r="U53">
        <v>5</v>
      </c>
      <c r="V53">
        <v>2025</v>
      </c>
      <c r="W53" s="2" t="str">
        <f t="shared" si="0"/>
        <v>Aug</v>
      </c>
      <c r="X53">
        <f t="shared" si="1"/>
        <v>0.36670185603456745</v>
      </c>
      <c r="Y53" t="str">
        <f>UPPER(Table1[[#This Row],[CustomerName]])</f>
        <v>SHREYA SHAH</v>
      </c>
      <c r="Z53" t="str">
        <f t="shared" si="2"/>
        <v>Shreya</v>
      </c>
    </row>
    <row r="54" spans="1:26" x14ac:dyDescent="0.3">
      <c r="A54" t="s">
        <v>73</v>
      </c>
      <c r="B54" s="1">
        <v>45973</v>
      </c>
      <c r="C54" t="s">
        <v>297</v>
      </c>
      <c r="D54" t="s">
        <v>397</v>
      </c>
      <c r="E54" t="s">
        <v>456</v>
      </c>
      <c r="F54" t="s">
        <v>482</v>
      </c>
      <c r="G54">
        <v>24</v>
      </c>
      <c r="H54" t="s">
        <v>485</v>
      </c>
      <c r="I54" t="s">
        <v>489</v>
      </c>
      <c r="J54" t="s">
        <v>505</v>
      </c>
      <c r="K54" t="s">
        <v>520</v>
      </c>
      <c r="L54">
        <v>3</v>
      </c>
      <c r="M54">
        <v>2553.5</v>
      </c>
      <c r="N54">
        <v>0.15</v>
      </c>
      <c r="O54">
        <v>6511.43</v>
      </c>
      <c r="P54">
        <v>4504.3900000000003</v>
      </c>
      <c r="Q54">
        <v>2007.04</v>
      </c>
      <c r="R54" t="s">
        <v>530</v>
      </c>
      <c r="S54" t="s">
        <v>533</v>
      </c>
      <c r="T54" t="s">
        <v>538</v>
      </c>
      <c r="U54">
        <v>5</v>
      </c>
      <c r="V54">
        <v>2025</v>
      </c>
      <c r="W54" s="2" t="str">
        <f t="shared" si="0"/>
        <v>Nov</v>
      </c>
      <c r="X54">
        <f t="shared" si="1"/>
        <v>0.30823336809272306</v>
      </c>
      <c r="Y54" t="str">
        <f>UPPER(Table1[[#This Row],[CustomerName]])</f>
        <v>HARSH PATEL</v>
      </c>
      <c r="Z54" t="str">
        <f t="shared" si="2"/>
        <v>Harsh</v>
      </c>
    </row>
    <row r="55" spans="1:26" x14ac:dyDescent="0.3">
      <c r="A55" t="s">
        <v>74</v>
      </c>
      <c r="B55" s="1">
        <v>45761</v>
      </c>
      <c r="C55" t="s">
        <v>297</v>
      </c>
      <c r="D55" t="s">
        <v>399</v>
      </c>
      <c r="E55" t="s">
        <v>458</v>
      </c>
      <c r="F55" t="s">
        <v>481</v>
      </c>
      <c r="G55">
        <v>53</v>
      </c>
      <c r="H55" t="s">
        <v>486</v>
      </c>
      <c r="I55" t="s">
        <v>497</v>
      </c>
      <c r="J55" t="s">
        <v>503</v>
      </c>
      <c r="K55" t="s">
        <v>521</v>
      </c>
      <c r="L55">
        <v>1</v>
      </c>
      <c r="M55">
        <v>8614.39</v>
      </c>
      <c r="N55">
        <v>0</v>
      </c>
      <c r="O55">
        <v>8614.39</v>
      </c>
      <c r="P55">
        <v>6015.4</v>
      </c>
      <c r="Q55">
        <v>2598.9899999999998</v>
      </c>
      <c r="R55" t="s">
        <v>531</v>
      </c>
      <c r="S55" t="s">
        <v>537</v>
      </c>
      <c r="T55" t="s">
        <v>540</v>
      </c>
      <c r="U55">
        <v>4</v>
      </c>
      <c r="V55">
        <v>2025</v>
      </c>
      <c r="W55" s="2" t="str">
        <f t="shared" si="0"/>
        <v>Apr</v>
      </c>
      <c r="X55">
        <f t="shared" si="1"/>
        <v>0.30170331271279799</v>
      </c>
      <c r="Y55" t="str">
        <f>UPPER(Table1[[#This Row],[CustomerName]])</f>
        <v>YASH SHAH</v>
      </c>
      <c r="Z55" t="str">
        <f t="shared" si="2"/>
        <v>Yash</v>
      </c>
    </row>
    <row r="56" spans="1:26" x14ac:dyDescent="0.3">
      <c r="A56" t="s">
        <v>75</v>
      </c>
      <c r="B56" s="1">
        <v>45855</v>
      </c>
      <c r="C56" t="s">
        <v>312</v>
      </c>
      <c r="D56" t="s">
        <v>399</v>
      </c>
      <c r="E56" t="s">
        <v>458</v>
      </c>
      <c r="F56" t="s">
        <v>481</v>
      </c>
      <c r="G56">
        <v>53</v>
      </c>
      <c r="H56" t="s">
        <v>486</v>
      </c>
      <c r="I56" t="s">
        <v>497</v>
      </c>
      <c r="J56" t="s">
        <v>502</v>
      </c>
      <c r="K56" t="s">
        <v>514</v>
      </c>
      <c r="L56">
        <v>2</v>
      </c>
      <c r="M56">
        <v>1413.43</v>
      </c>
      <c r="N56">
        <v>0.1</v>
      </c>
      <c r="O56">
        <v>2544.17</v>
      </c>
      <c r="P56">
        <v>1829.47</v>
      </c>
      <c r="Q56">
        <v>714.7</v>
      </c>
      <c r="R56" t="s">
        <v>528</v>
      </c>
      <c r="S56" t="s">
        <v>536</v>
      </c>
      <c r="T56" t="s">
        <v>539</v>
      </c>
      <c r="U56">
        <v>5</v>
      </c>
      <c r="V56">
        <v>2025</v>
      </c>
      <c r="W56" s="2" t="str">
        <f t="shared" si="0"/>
        <v>Jul</v>
      </c>
      <c r="X56">
        <f t="shared" si="1"/>
        <v>0.28091676263771681</v>
      </c>
      <c r="Y56" t="str">
        <f>UPPER(Table1[[#This Row],[CustomerName]])</f>
        <v>YASH SHAH</v>
      </c>
      <c r="Z56" t="str">
        <f t="shared" si="2"/>
        <v>Yash</v>
      </c>
    </row>
    <row r="57" spans="1:26" x14ac:dyDescent="0.3">
      <c r="A57" t="s">
        <v>76</v>
      </c>
      <c r="B57" s="1">
        <v>45946</v>
      </c>
      <c r="C57" t="s">
        <v>282</v>
      </c>
      <c r="D57" t="s">
        <v>379</v>
      </c>
      <c r="E57" t="s">
        <v>438</v>
      </c>
      <c r="F57" t="s">
        <v>482</v>
      </c>
      <c r="G57">
        <v>49</v>
      </c>
      <c r="H57" t="s">
        <v>486</v>
      </c>
      <c r="I57" t="s">
        <v>497</v>
      </c>
      <c r="J57" t="s">
        <v>506</v>
      </c>
      <c r="K57" t="s">
        <v>525</v>
      </c>
      <c r="L57">
        <v>3</v>
      </c>
      <c r="M57">
        <v>468.33</v>
      </c>
      <c r="N57">
        <v>0.15</v>
      </c>
      <c r="O57">
        <v>1194.24</v>
      </c>
      <c r="P57">
        <v>936.58</v>
      </c>
      <c r="Q57">
        <v>257.66000000000003</v>
      </c>
      <c r="R57" t="s">
        <v>527</v>
      </c>
      <c r="S57" t="s">
        <v>535</v>
      </c>
      <c r="T57" t="s">
        <v>540</v>
      </c>
      <c r="U57">
        <v>4</v>
      </c>
      <c r="V57">
        <v>2025</v>
      </c>
      <c r="W57" s="2" t="str">
        <f t="shared" si="0"/>
        <v>Oct</v>
      </c>
      <c r="X57">
        <f t="shared" si="1"/>
        <v>0.21575227759914256</v>
      </c>
      <c r="Y57" t="str">
        <f>UPPER(Table1[[#This Row],[CustomerName]])</f>
        <v>RAHUL SHAH</v>
      </c>
      <c r="Z57" t="str">
        <f t="shared" si="2"/>
        <v>Rahul</v>
      </c>
    </row>
    <row r="58" spans="1:26" x14ac:dyDescent="0.3">
      <c r="A58" t="s">
        <v>77</v>
      </c>
      <c r="B58" s="1">
        <v>45793</v>
      </c>
      <c r="C58" t="s">
        <v>300</v>
      </c>
      <c r="D58" t="s">
        <v>363</v>
      </c>
      <c r="E58" t="s">
        <v>422</v>
      </c>
      <c r="F58" t="s">
        <v>481</v>
      </c>
      <c r="G58">
        <v>51</v>
      </c>
      <c r="H58" t="s">
        <v>483</v>
      </c>
      <c r="I58" t="s">
        <v>487</v>
      </c>
      <c r="J58" t="s">
        <v>505</v>
      </c>
      <c r="K58" t="s">
        <v>522</v>
      </c>
      <c r="L58">
        <v>5</v>
      </c>
      <c r="M58">
        <v>5176.03</v>
      </c>
      <c r="N58">
        <v>0.05</v>
      </c>
      <c r="O58">
        <v>24586.14</v>
      </c>
      <c r="P58">
        <v>18655.71</v>
      </c>
      <c r="Q58">
        <v>5930.43</v>
      </c>
      <c r="R58" t="s">
        <v>527</v>
      </c>
      <c r="S58" t="s">
        <v>533</v>
      </c>
      <c r="T58" t="s">
        <v>540</v>
      </c>
      <c r="U58">
        <v>4</v>
      </c>
      <c r="V58">
        <v>2025</v>
      </c>
      <c r="W58" s="2" t="str">
        <f t="shared" si="0"/>
        <v>May</v>
      </c>
      <c r="X58">
        <f t="shared" si="1"/>
        <v>0.24121029165212596</v>
      </c>
      <c r="Y58" t="str">
        <f>UPPER(Table1[[#This Row],[CustomerName]])</f>
        <v>AVNI PATEL</v>
      </c>
      <c r="Z58" t="str">
        <f t="shared" si="2"/>
        <v>Avni</v>
      </c>
    </row>
    <row r="59" spans="1:26" x14ac:dyDescent="0.3">
      <c r="A59" t="s">
        <v>78</v>
      </c>
      <c r="B59" s="1">
        <v>45911</v>
      </c>
      <c r="C59" t="s">
        <v>313</v>
      </c>
      <c r="D59" t="s">
        <v>400</v>
      </c>
      <c r="E59" t="s">
        <v>459</v>
      </c>
      <c r="F59" t="s">
        <v>481</v>
      </c>
      <c r="G59">
        <v>26</v>
      </c>
      <c r="H59" t="s">
        <v>486</v>
      </c>
      <c r="I59" t="s">
        <v>497</v>
      </c>
      <c r="J59" t="s">
        <v>502</v>
      </c>
      <c r="K59" t="s">
        <v>514</v>
      </c>
      <c r="L59">
        <v>2</v>
      </c>
      <c r="M59">
        <v>1607.35</v>
      </c>
      <c r="N59">
        <v>0.08</v>
      </c>
      <c r="O59">
        <v>2957.52</v>
      </c>
      <c r="P59">
        <v>2373.0300000000002</v>
      </c>
      <c r="Q59">
        <v>584.49</v>
      </c>
      <c r="R59" t="s">
        <v>531</v>
      </c>
      <c r="S59" t="s">
        <v>532</v>
      </c>
      <c r="T59" t="s">
        <v>540</v>
      </c>
      <c r="U59">
        <v>5</v>
      </c>
      <c r="V59">
        <v>2025</v>
      </c>
      <c r="W59" s="2" t="str">
        <f t="shared" si="0"/>
        <v>Sep</v>
      </c>
      <c r="X59">
        <f t="shared" si="1"/>
        <v>0.19762841840460926</v>
      </c>
      <c r="Y59" t="str">
        <f>UPPER(Table1[[#This Row],[CustomerName]])</f>
        <v>ISHAAN PATEL</v>
      </c>
      <c r="Z59" t="str">
        <f t="shared" si="2"/>
        <v>Ishaan</v>
      </c>
    </row>
    <row r="60" spans="1:26" x14ac:dyDescent="0.3">
      <c r="A60" t="s">
        <v>79</v>
      </c>
      <c r="B60" s="1">
        <v>46013</v>
      </c>
      <c r="C60" t="s">
        <v>314</v>
      </c>
      <c r="D60" t="s">
        <v>401</v>
      </c>
      <c r="E60" t="s">
        <v>460</v>
      </c>
      <c r="F60" t="s">
        <v>481</v>
      </c>
      <c r="G60">
        <v>45</v>
      </c>
      <c r="H60" t="s">
        <v>483</v>
      </c>
      <c r="I60" t="s">
        <v>487</v>
      </c>
      <c r="J60" t="s">
        <v>504</v>
      </c>
      <c r="K60" t="s">
        <v>511</v>
      </c>
      <c r="L60">
        <v>2</v>
      </c>
      <c r="M60">
        <v>260.85000000000002</v>
      </c>
      <c r="N60">
        <v>0.02</v>
      </c>
      <c r="O60">
        <v>511.27</v>
      </c>
      <c r="P60">
        <v>324.02999999999997</v>
      </c>
      <c r="Q60">
        <v>187.24</v>
      </c>
      <c r="R60" t="s">
        <v>528</v>
      </c>
      <c r="S60" t="s">
        <v>535</v>
      </c>
      <c r="T60" t="s">
        <v>540</v>
      </c>
      <c r="U60">
        <v>5</v>
      </c>
      <c r="V60">
        <v>2025</v>
      </c>
      <c r="W60" s="2" t="str">
        <f t="shared" si="0"/>
        <v>Dec</v>
      </c>
      <c r="X60">
        <f t="shared" si="1"/>
        <v>0.366225282140552</v>
      </c>
      <c r="Y60" t="str">
        <f>UPPER(Table1[[#This Row],[CustomerName]])</f>
        <v>ARYAN SHAH</v>
      </c>
      <c r="Z60" t="str">
        <f t="shared" si="2"/>
        <v>Aryan</v>
      </c>
    </row>
    <row r="61" spans="1:26" x14ac:dyDescent="0.3">
      <c r="A61" t="s">
        <v>80</v>
      </c>
      <c r="B61" s="1">
        <v>45914</v>
      </c>
      <c r="C61" t="s">
        <v>300</v>
      </c>
      <c r="D61" t="s">
        <v>400</v>
      </c>
      <c r="E61" t="s">
        <v>459</v>
      </c>
      <c r="F61" t="s">
        <v>481</v>
      </c>
      <c r="G61">
        <v>26</v>
      </c>
      <c r="H61" t="s">
        <v>486</v>
      </c>
      <c r="I61" t="s">
        <v>497</v>
      </c>
      <c r="J61" t="s">
        <v>505</v>
      </c>
      <c r="K61" t="s">
        <v>522</v>
      </c>
      <c r="L61">
        <v>1</v>
      </c>
      <c r="M61">
        <v>4865.72</v>
      </c>
      <c r="N61">
        <v>0.15</v>
      </c>
      <c r="O61">
        <v>4135.8599999999997</v>
      </c>
      <c r="P61">
        <v>2993.4</v>
      </c>
      <c r="Q61">
        <v>1142.46</v>
      </c>
      <c r="R61" t="s">
        <v>530</v>
      </c>
      <c r="S61" t="s">
        <v>532</v>
      </c>
      <c r="T61" t="s">
        <v>538</v>
      </c>
      <c r="U61">
        <v>4</v>
      </c>
      <c r="V61">
        <v>2025</v>
      </c>
      <c r="W61" s="2" t="str">
        <f t="shared" si="0"/>
        <v>Sep</v>
      </c>
      <c r="X61">
        <f t="shared" si="1"/>
        <v>0.27623275449362411</v>
      </c>
      <c r="Y61" t="str">
        <f>UPPER(Table1[[#This Row],[CustomerName]])</f>
        <v>ISHAAN PATEL</v>
      </c>
      <c r="Z61" t="str">
        <f t="shared" si="2"/>
        <v>Ishaan</v>
      </c>
    </row>
    <row r="62" spans="1:26" x14ac:dyDescent="0.3">
      <c r="A62" t="s">
        <v>81</v>
      </c>
      <c r="B62" s="1">
        <v>45774</v>
      </c>
      <c r="C62" t="s">
        <v>303</v>
      </c>
      <c r="D62" t="s">
        <v>402</v>
      </c>
      <c r="E62" t="s">
        <v>461</v>
      </c>
      <c r="F62" t="s">
        <v>482</v>
      </c>
      <c r="G62">
        <v>55</v>
      </c>
      <c r="H62" t="s">
        <v>485</v>
      </c>
      <c r="I62" t="s">
        <v>498</v>
      </c>
      <c r="J62" t="s">
        <v>505</v>
      </c>
      <c r="K62" t="s">
        <v>522</v>
      </c>
      <c r="L62">
        <v>1</v>
      </c>
      <c r="M62">
        <v>5290.81</v>
      </c>
      <c r="N62">
        <v>0.15</v>
      </c>
      <c r="O62">
        <v>4497.1899999999996</v>
      </c>
      <c r="P62">
        <v>3099.77</v>
      </c>
      <c r="Q62">
        <v>1397.42</v>
      </c>
      <c r="R62" t="s">
        <v>531</v>
      </c>
      <c r="S62" t="s">
        <v>534</v>
      </c>
      <c r="T62" t="s">
        <v>538</v>
      </c>
      <c r="U62">
        <v>4</v>
      </c>
      <c r="V62">
        <v>2025</v>
      </c>
      <c r="W62" s="2" t="str">
        <f t="shared" si="0"/>
        <v>Apr</v>
      </c>
      <c r="X62">
        <f t="shared" si="1"/>
        <v>0.31073181253182547</v>
      </c>
      <c r="Y62" t="str">
        <f>UPPER(Table1[[#This Row],[CustomerName]])</f>
        <v>POOJA SHAH</v>
      </c>
      <c r="Z62" t="str">
        <f t="shared" si="2"/>
        <v>Pooja</v>
      </c>
    </row>
    <row r="63" spans="1:26" x14ac:dyDescent="0.3">
      <c r="A63" t="s">
        <v>82</v>
      </c>
      <c r="B63" s="1">
        <v>46021</v>
      </c>
      <c r="C63" t="s">
        <v>315</v>
      </c>
      <c r="D63" t="s">
        <v>401</v>
      </c>
      <c r="E63" t="s">
        <v>460</v>
      </c>
      <c r="F63" t="s">
        <v>481</v>
      </c>
      <c r="G63">
        <v>45</v>
      </c>
      <c r="H63" t="s">
        <v>483</v>
      </c>
      <c r="I63" t="s">
        <v>487</v>
      </c>
      <c r="J63" t="s">
        <v>505</v>
      </c>
      <c r="K63" t="s">
        <v>518</v>
      </c>
      <c r="L63">
        <v>4</v>
      </c>
      <c r="M63">
        <v>54286.54</v>
      </c>
      <c r="N63">
        <v>0</v>
      </c>
      <c r="O63">
        <v>217146.16</v>
      </c>
      <c r="P63">
        <v>150369.10999999999</v>
      </c>
      <c r="Q63">
        <v>66777.05</v>
      </c>
      <c r="R63" t="s">
        <v>528</v>
      </c>
      <c r="S63" t="s">
        <v>537</v>
      </c>
      <c r="T63" t="s">
        <v>540</v>
      </c>
      <c r="U63">
        <v>4</v>
      </c>
      <c r="V63">
        <v>2025</v>
      </c>
      <c r="W63" s="2" t="str">
        <f t="shared" si="0"/>
        <v>Dec</v>
      </c>
      <c r="X63">
        <f t="shared" si="1"/>
        <v>0.3075212105984283</v>
      </c>
      <c r="Y63" t="str">
        <f>UPPER(Table1[[#This Row],[CustomerName]])</f>
        <v>ARYAN SHAH</v>
      </c>
      <c r="Z63" t="str">
        <f t="shared" si="2"/>
        <v>Aryan</v>
      </c>
    </row>
    <row r="64" spans="1:26" x14ac:dyDescent="0.3">
      <c r="A64" t="s">
        <v>83</v>
      </c>
      <c r="B64" s="1">
        <v>45994</v>
      </c>
      <c r="C64" t="s">
        <v>316</v>
      </c>
      <c r="D64" t="s">
        <v>365</v>
      </c>
      <c r="E64" t="s">
        <v>424</v>
      </c>
      <c r="F64" t="s">
        <v>481</v>
      </c>
      <c r="G64">
        <v>41</v>
      </c>
      <c r="H64" t="s">
        <v>485</v>
      </c>
      <c r="I64" t="s">
        <v>489</v>
      </c>
      <c r="J64" t="s">
        <v>505</v>
      </c>
      <c r="K64" t="s">
        <v>510</v>
      </c>
      <c r="L64">
        <v>4</v>
      </c>
      <c r="M64">
        <v>30168.33</v>
      </c>
      <c r="N64">
        <v>0</v>
      </c>
      <c r="O64">
        <v>120673.32</v>
      </c>
      <c r="P64">
        <v>82048.11</v>
      </c>
      <c r="Q64">
        <v>38625.21</v>
      </c>
      <c r="R64" t="s">
        <v>530</v>
      </c>
      <c r="S64" t="s">
        <v>537</v>
      </c>
      <c r="T64" t="s">
        <v>538</v>
      </c>
      <c r="U64">
        <v>4</v>
      </c>
      <c r="V64">
        <v>2025</v>
      </c>
      <c r="W64" s="2" t="str">
        <f t="shared" si="0"/>
        <v>Dec</v>
      </c>
      <c r="X64">
        <f t="shared" si="1"/>
        <v>0.32008077676159069</v>
      </c>
      <c r="Y64" t="str">
        <f>UPPER(Table1[[#This Row],[CustomerName]])</f>
        <v>RIYA SHAH</v>
      </c>
      <c r="Z64" t="str">
        <f t="shared" si="2"/>
        <v>Riya</v>
      </c>
    </row>
    <row r="65" spans="1:26" x14ac:dyDescent="0.3">
      <c r="A65" t="s">
        <v>84</v>
      </c>
      <c r="B65" s="1">
        <v>45975</v>
      </c>
      <c r="C65" t="s">
        <v>305</v>
      </c>
      <c r="D65" t="s">
        <v>369</v>
      </c>
      <c r="E65" t="s">
        <v>428</v>
      </c>
      <c r="F65" t="s">
        <v>482</v>
      </c>
      <c r="G65">
        <v>53</v>
      </c>
      <c r="H65" t="s">
        <v>485</v>
      </c>
      <c r="I65" t="s">
        <v>492</v>
      </c>
      <c r="J65" t="s">
        <v>503</v>
      </c>
      <c r="K65" t="s">
        <v>523</v>
      </c>
      <c r="L65">
        <v>3</v>
      </c>
      <c r="M65">
        <v>1674.92</v>
      </c>
      <c r="N65">
        <v>0.15</v>
      </c>
      <c r="O65">
        <v>4271.05</v>
      </c>
      <c r="P65">
        <v>3258.01</v>
      </c>
      <c r="Q65">
        <v>1013.04</v>
      </c>
      <c r="R65" t="s">
        <v>531</v>
      </c>
      <c r="S65" t="s">
        <v>533</v>
      </c>
      <c r="T65" t="s">
        <v>538</v>
      </c>
      <c r="U65">
        <v>4</v>
      </c>
      <c r="V65">
        <v>2025</v>
      </c>
      <c r="W65" s="2" t="str">
        <f t="shared" si="0"/>
        <v>Nov</v>
      </c>
      <c r="X65">
        <f t="shared" si="1"/>
        <v>0.23718757682537078</v>
      </c>
      <c r="Y65" t="str">
        <f>UPPER(Table1[[#This Row],[CustomerName]])</f>
        <v>RIYA PATEL</v>
      </c>
      <c r="Z65" t="str">
        <f t="shared" si="2"/>
        <v>Riya</v>
      </c>
    </row>
    <row r="66" spans="1:26" x14ac:dyDescent="0.3">
      <c r="A66" t="s">
        <v>85</v>
      </c>
      <c r="B66" s="1">
        <v>45823</v>
      </c>
      <c r="C66" t="s">
        <v>293</v>
      </c>
      <c r="D66" t="s">
        <v>403</v>
      </c>
      <c r="E66" t="s">
        <v>462</v>
      </c>
      <c r="F66" t="s">
        <v>481</v>
      </c>
      <c r="G66">
        <v>41</v>
      </c>
      <c r="H66" t="s">
        <v>484</v>
      </c>
      <c r="I66" t="s">
        <v>488</v>
      </c>
      <c r="J66" t="s">
        <v>505</v>
      </c>
      <c r="K66" t="s">
        <v>522</v>
      </c>
      <c r="L66">
        <v>5</v>
      </c>
      <c r="M66">
        <v>4660.3999999999996</v>
      </c>
      <c r="N66">
        <v>0.05</v>
      </c>
      <c r="O66">
        <v>22136.9</v>
      </c>
      <c r="P66">
        <v>15377.66</v>
      </c>
      <c r="Q66">
        <v>6759.24</v>
      </c>
      <c r="R66" t="s">
        <v>531</v>
      </c>
      <c r="S66" t="s">
        <v>534</v>
      </c>
      <c r="T66" t="s">
        <v>538</v>
      </c>
      <c r="U66">
        <v>4</v>
      </c>
      <c r="V66">
        <v>2025</v>
      </c>
      <c r="W66" s="2" t="str">
        <f t="shared" si="0"/>
        <v>Jun</v>
      </c>
      <c r="X66">
        <f t="shared" si="1"/>
        <v>0.30533814581084068</v>
      </c>
      <c r="Y66" t="str">
        <f>UPPER(Table1[[#This Row],[CustomerName]])</f>
        <v>SHREYA PATEL</v>
      </c>
      <c r="Z66" t="str">
        <f t="shared" si="2"/>
        <v>Shreya</v>
      </c>
    </row>
    <row r="67" spans="1:26" x14ac:dyDescent="0.3">
      <c r="A67" t="s">
        <v>86</v>
      </c>
      <c r="B67" s="1">
        <v>45712</v>
      </c>
      <c r="C67" t="s">
        <v>317</v>
      </c>
      <c r="D67" t="s">
        <v>377</v>
      </c>
      <c r="E67" t="s">
        <v>436</v>
      </c>
      <c r="F67" t="s">
        <v>481</v>
      </c>
      <c r="G67">
        <v>58</v>
      </c>
      <c r="H67" t="s">
        <v>483</v>
      </c>
      <c r="I67" t="s">
        <v>487</v>
      </c>
      <c r="J67" t="s">
        <v>506</v>
      </c>
      <c r="K67" t="s">
        <v>525</v>
      </c>
      <c r="L67">
        <v>1</v>
      </c>
      <c r="M67">
        <v>453.72</v>
      </c>
      <c r="N67">
        <v>0.05</v>
      </c>
      <c r="O67">
        <v>431.03</v>
      </c>
      <c r="P67">
        <v>287.16000000000003</v>
      </c>
      <c r="Q67">
        <v>143.87</v>
      </c>
      <c r="R67" t="s">
        <v>528</v>
      </c>
      <c r="S67" t="s">
        <v>535</v>
      </c>
      <c r="T67" t="s">
        <v>538</v>
      </c>
      <c r="U67">
        <v>4</v>
      </c>
      <c r="V67">
        <v>2025</v>
      </c>
      <c r="W67" s="2" t="str">
        <f t="shared" ref="W67:W130" si="3">TEXT(B67,"mmm")</f>
        <v>Feb</v>
      </c>
      <c r="X67">
        <f t="shared" ref="X67:X130" si="4">IFERROR(Q67/O67,0)</f>
        <v>0.33378187133146187</v>
      </c>
      <c r="Y67" t="str">
        <f>UPPER(Table1[[#This Row],[CustomerName]])</f>
        <v>AANYA PATEL</v>
      </c>
      <c r="Z67" t="str">
        <f t="shared" ref="Z67:Z130" si="5">LEFT(E67,FIND( " ",E67)-1)</f>
        <v>Aanya</v>
      </c>
    </row>
    <row r="68" spans="1:26" x14ac:dyDescent="0.3">
      <c r="A68" t="s">
        <v>87</v>
      </c>
      <c r="B68" s="1">
        <v>45724</v>
      </c>
      <c r="C68" t="s">
        <v>287</v>
      </c>
      <c r="D68" t="s">
        <v>379</v>
      </c>
      <c r="E68" t="s">
        <v>438</v>
      </c>
      <c r="F68" t="s">
        <v>482</v>
      </c>
      <c r="G68">
        <v>49</v>
      </c>
      <c r="H68" t="s">
        <v>486</v>
      </c>
      <c r="I68" t="s">
        <v>497</v>
      </c>
      <c r="J68" t="s">
        <v>502</v>
      </c>
      <c r="K68" t="s">
        <v>514</v>
      </c>
      <c r="L68">
        <v>2</v>
      </c>
      <c r="M68">
        <v>1573.28</v>
      </c>
      <c r="N68">
        <v>0.15</v>
      </c>
      <c r="O68">
        <v>2674.58</v>
      </c>
      <c r="P68">
        <v>1980.9</v>
      </c>
      <c r="Q68">
        <v>693.68</v>
      </c>
      <c r="R68" t="s">
        <v>528</v>
      </c>
      <c r="S68" t="s">
        <v>536</v>
      </c>
      <c r="T68" t="s">
        <v>539</v>
      </c>
      <c r="U68">
        <v>3</v>
      </c>
      <c r="V68">
        <v>2025</v>
      </c>
      <c r="W68" s="2" t="str">
        <f t="shared" si="3"/>
        <v>Mar</v>
      </c>
      <c r="X68">
        <f t="shared" si="4"/>
        <v>0.25936034816681497</v>
      </c>
      <c r="Y68" t="str">
        <f>UPPER(Table1[[#This Row],[CustomerName]])</f>
        <v>RAHUL SHAH</v>
      </c>
      <c r="Z68" t="str">
        <f t="shared" si="5"/>
        <v>Rahul</v>
      </c>
    </row>
    <row r="69" spans="1:26" x14ac:dyDescent="0.3">
      <c r="A69" t="s">
        <v>88</v>
      </c>
      <c r="B69" s="1">
        <v>45880</v>
      </c>
      <c r="C69" t="s">
        <v>318</v>
      </c>
      <c r="D69" t="s">
        <v>397</v>
      </c>
      <c r="E69" t="s">
        <v>456</v>
      </c>
      <c r="F69" t="s">
        <v>482</v>
      </c>
      <c r="G69">
        <v>24</v>
      </c>
      <c r="H69" t="s">
        <v>485</v>
      </c>
      <c r="I69" t="s">
        <v>489</v>
      </c>
      <c r="J69" t="s">
        <v>505</v>
      </c>
      <c r="K69" t="s">
        <v>510</v>
      </c>
      <c r="L69">
        <v>1</v>
      </c>
      <c r="M69">
        <v>28597.85</v>
      </c>
      <c r="N69">
        <v>0.05</v>
      </c>
      <c r="O69">
        <v>27167.96</v>
      </c>
      <c r="P69">
        <v>17511.25</v>
      </c>
      <c r="Q69">
        <v>9656.7099999999991</v>
      </c>
      <c r="R69" t="s">
        <v>528</v>
      </c>
      <c r="S69" t="s">
        <v>536</v>
      </c>
      <c r="T69" t="s">
        <v>538</v>
      </c>
      <c r="U69">
        <v>5</v>
      </c>
      <c r="V69">
        <v>2025</v>
      </c>
      <c r="W69" s="2" t="str">
        <f t="shared" si="3"/>
        <v>Aug</v>
      </c>
      <c r="X69">
        <f t="shared" si="4"/>
        <v>0.35544479600234979</v>
      </c>
      <c r="Y69" t="str">
        <f>UPPER(Table1[[#This Row],[CustomerName]])</f>
        <v>HARSH PATEL</v>
      </c>
      <c r="Z69" t="str">
        <f t="shared" si="5"/>
        <v>Harsh</v>
      </c>
    </row>
    <row r="70" spans="1:26" x14ac:dyDescent="0.3">
      <c r="A70" t="s">
        <v>89</v>
      </c>
      <c r="B70" s="1">
        <v>45960</v>
      </c>
      <c r="C70" t="s">
        <v>319</v>
      </c>
      <c r="D70" t="s">
        <v>404</v>
      </c>
      <c r="E70" t="s">
        <v>463</v>
      </c>
      <c r="F70" t="s">
        <v>481</v>
      </c>
      <c r="G70">
        <v>32</v>
      </c>
      <c r="H70" t="s">
        <v>485</v>
      </c>
      <c r="I70" t="s">
        <v>496</v>
      </c>
      <c r="J70" t="s">
        <v>503</v>
      </c>
      <c r="K70" t="s">
        <v>521</v>
      </c>
      <c r="L70">
        <v>2</v>
      </c>
      <c r="M70">
        <v>8802.81</v>
      </c>
      <c r="N70">
        <v>0.08</v>
      </c>
      <c r="O70">
        <v>16197.17</v>
      </c>
      <c r="P70">
        <v>12733.1</v>
      </c>
      <c r="Q70">
        <v>3464.07</v>
      </c>
      <c r="R70" t="s">
        <v>530</v>
      </c>
      <c r="S70" t="s">
        <v>537</v>
      </c>
      <c r="T70" t="s">
        <v>538</v>
      </c>
      <c r="U70">
        <v>4</v>
      </c>
      <c r="V70">
        <v>2025</v>
      </c>
      <c r="W70" s="2" t="str">
        <f t="shared" si="3"/>
        <v>Oct</v>
      </c>
      <c r="X70">
        <f t="shared" si="4"/>
        <v>0.21386884252002047</v>
      </c>
      <c r="Y70" t="str">
        <f>UPPER(Table1[[#This Row],[CustomerName]])</f>
        <v>AARAV PATEL</v>
      </c>
      <c r="Z70" t="str">
        <f t="shared" si="5"/>
        <v>Aarav</v>
      </c>
    </row>
    <row r="71" spans="1:26" x14ac:dyDescent="0.3">
      <c r="A71" t="s">
        <v>90</v>
      </c>
      <c r="B71" s="1">
        <v>46012</v>
      </c>
      <c r="C71" t="s">
        <v>320</v>
      </c>
      <c r="D71" t="s">
        <v>381</v>
      </c>
      <c r="E71" t="s">
        <v>440</v>
      </c>
      <c r="F71" t="s">
        <v>482</v>
      </c>
      <c r="G71">
        <v>54</v>
      </c>
      <c r="H71" t="s">
        <v>485</v>
      </c>
      <c r="I71" t="s">
        <v>498</v>
      </c>
      <c r="J71" t="s">
        <v>506</v>
      </c>
      <c r="K71" t="s">
        <v>526</v>
      </c>
      <c r="L71">
        <v>1</v>
      </c>
      <c r="M71">
        <v>1906.12</v>
      </c>
      <c r="N71">
        <v>0.05</v>
      </c>
      <c r="O71">
        <v>1810.81</v>
      </c>
      <c r="P71">
        <v>1446.68</v>
      </c>
      <c r="Q71">
        <v>364.13</v>
      </c>
      <c r="R71" t="s">
        <v>529</v>
      </c>
      <c r="S71" t="s">
        <v>533</v>
      </c>
      <c r="T71" t="s">
        <v>540</v>
      </c>
      <c r="U71">
        <v>4</v>
      </c>
      <c r="V71">
        <v>2025</v>
      </c>
      <c r="W71" s="2" t="str">
        <f t="shared" si="3"/>
        <v>Dec</v>
      </c>
      <c r="X71">
        <f t="shared" si="4"/>
        <v>0.20108680645677901</v>
      </c>
      <c r="Y71" t="str">
        <f>UPPER(Table1[[#This Row],[CustomerName]])</f>
        <v>AANYA SHAH</v>
      </c>
      <c r="Z71" t="str">
        <f t="shared" si="5"/>
        <v>Aanya</v>
      </c>
    </row>
    <row r="72" spans="1:26" x14ac:dyDescent="0.3">
      <c r="A72" t="s">
        <v>91</v>
      </c>
      <c r="B72" s="1">
        <v>45894</v>
      </c>
      <c r="C72" t="s">
        <v>291</v>
      </c>
      <c r="D72" t="s">
        <v>405</v>
      </c>
      <c r="E72" t="s">
        <v>464</v>
      </c>
      <c r="F72" t="s">
        <v>482</v>
      </c>
      <c r="G72">
        <v>39</v>
      </c>
      <c r="H72" t="s">
        <v>484</v>
      </c>
      <c r="I72" t="s">
        <v>488</v>
      </c>
      <c r="J72" t="s">
        <v>505</v>
      </c>
      <c r="K72" t="s">
        <v>510</v>
      </c>
      <c r="L72">
        <v>3</v>
      </c>
      <c r="M72">
        <v>29624.18</v>
      </c>
      <c r="N72">
        <v>0.02</v>
      </c>
      <c r="O72">
        <v>87095.09</v>
      </c>
      <c r="P72">
        <v>63155.96</v>
      </c>
      <c r="Q72">
        <v>23939.13</v>
      </c>
      <c r="R72" t="s">
        <v>530</v>
      </c>
      <c r="S72" t="s">
        <v>533</v>
      </c>
      <c r="T72" t="s">
        <v>540</v>
      </c>
      <c r="U72">
        <v>3</v>
      </c>
      <c r="V72">
        <v>2025</v>
      </c>
      <c r="W72" s="2" t="str">
        <f t="shared" si="3"/>
        <v>Aug</v>
      </c>
      <c r="X72">
        <f t="shared" si="4"/>
        <v>0.27486199279431256</v>
      </c>
      <c r="Y72" t="str">
        <f>UPPER(Table1[[#This Row],[CustomerName]])</f>
        <v>DEV SHAH</v>
      </c>
      <c r="Z72" t="str">
        <f t="shared" si="5"/>
        <v>Dev</v>
      </c>
    </row>
    <row r="73" spans="1:26" x14ac:dyDescent="0.3">
      <c r="A73" t="s">
        <v>92</v>
      </c>
      <c r="B73" s="1">
        <v>45785</v>
      </c>
      <c r="C73" t="s">
        <v>283</v>
      </c>
      <c r="D73" t="s">
        <v>364</v>
      </c>
      <c r="E73" t="s">
        <v>423</v>
      </c>
      <c r="F73" t="s">
        <v>482</v>
      </c>
      <c r="G73">
        <v>35</v>
      </c>
      <c r="H73" t="s">
        <v>484</v>
      </c>
      <c r="I73" t="s">
        <v>488</v>
      </c>
      <c r="J73" t="s">
        <v>502</v>
      </c>
      <c r="K73" t="s">
        <v>515</v>
      </c>
      <c r="L73">
        <v>2</v>
      </c>
      <c r="M73">
        <v>1815.6</v>
      </c>
      <c r="N73">
        <v>0</v>
      </c>
      <c r="O73">
        <v>3631.2</v>
      </c>
      <c r="P73">
        <v>2612.62</v>
      </c>
      <c r="Q73">
        <v>1018.58</v>
      </c>
      <c r="R73" t="s">
        <v>527</v>
      </c>
      <c r="S73" t="s">
        <v>535</v>
      </c>
      <c r="T73" t="s">
        <v>540</v>
      </c>
      <c r="U73">
        <v>3</v>
      </c>
      <c r="V73">
        <v>2025</v>
      </c>
      <c r="W73" s="2" t="str">
        <f t="shared" si="3"/>
        <v>May</v>
      </c>
      <c r="X73">
        <f t="shared" si="4"/>
        <v>0.2805078211059705</v>
      </c>
      <c r="Y73" t="str">
        <f>UPPER(Table1[[#This Row],[CustomerName]])</f>
        <v>ISHA PATEL</v>
      </c>
      <c r="Z73" t="str">
        <f t="shared" si="5"/>
        <v>Isha</v>
      </c>
    </row>
    <row r="74" spans="1:26" x14ac:dyDescent="0.3">
      <c r="A74" t="s">
        <v>93</v>
      </c>
      <c r="B74" s="1">
        <v>45944</v>
      </c>
      <c r="C74" t="s">
        <v>312</v>
      </c>
      <c r="D74" t="s">
        <v>402</v>
      </c>
      <c r="E74" t="s">
        <v>461</v>
      </c>
      <c r="F74" t="s">
        <v>482</v>
      </c>
      <c r="G74">
        <v>55</v>
      </c>
      <c r="H74" t="s">
        <v>485</v>
      </c>
      <c r="I74" t="s">
        <v>498</v>
      </c>
      <c r="J74" t="s">
        <v>502</v>
      </c>
      <c r="K74" t="s">
        <v>514</v>
      </c>
      <c r="L74">
        <v>5</v>
      </c>
      <c r="M74">
        <v>1539.61</v>
      </c>
      <c r="N74">
        <v>0.02</v>
      </c>
      <c r="O74">
        <v>7544.09</v>
      </c>
      <c r="P74">
        <v>6057.02</v>
      </c>
      <c r="Q74">
        <v>1487.07</v>
      </c>
      <c r="R74" t="s">
        <v>531</v>
      </c>
      <c r="S74" t="s">
        <v>535</v>
      </c>
      <c r="T74" t="s">
        <v>538</v>
      </c>
      <c r="U74">
        <v>4</v>
      </c>
      <c r="V74">
        <v>2025</v>
      </c>
      <c r="W74" s="2" t="str">
        <f t="shared" si="3"/>
        <v>Oct</v>
      </c>
      <c r="X74">
        <f t="shared" si="4"/>
        <v>0.19711721360694265</v>
      </c>
      <c r="Y74" t="str">
        <f>UPPER(Table1[[#This Row],[CustomerName]])</f>
        <v>POOJA SHAH</v>
      </c>
      <c r="Z74" t="str">
        <f t="shared" si="5"/>
        <v>Pooja</v>
      </c>
    </row>
    <row r="75" spans="1:26" x14ac:dyDescent="0.3">
      <c r="A75" t="s">
        <v>94</v>
      </c>
      <c r="B75" s="1">
        <v>45967</v>
      </c>
      <c r="C75" t="s">
        <v>274</v>
      </c>
      <c r="D75" t="s">
        <v>367</v>
      </c>
      <c r="E75" t="s">
        <v>426</v>
      </c>
      <c r="F75" t="s">
        <v>482</v>
      </c>
      <c r="G75">
        <v>56</v>
      </c>
      <c r="H75" t="s">
        <v>483</v>
      </c>
      <c r="I75" t="s">
        <v>490</v>
      </c>
      <c r="J75" t="s">
        <v>505</v>
      </c>
      <c r="K75" t="s">
        <v>522</v>
      </c>
      <c r="L75">
        <v>3</v>
      </c>
      <c r="M75">
        <v>4796.28</v>
      </c>
      <c r="N75">
        <v>0.1</v>
      </c>
      <c r="O75">
        <v>12949.96</v>
      </c>
      <c r="P75">
        <v>10197</v>
      </c>
      <c r="Q75">
        <v>2752.96</v>
      </c>
      <c r="R75" t="s">
        <v>528</v>
      </c>
      <c r="S75" t="s">
        <v>536</v>
      </c>
      <c r="T75" t="s">
        <v>538</v>
      </c>
      <c r="U75">
        <v>4</v>
      </c>
      <c r="V75">
        <v>2025</v>
      </c>
      <c r="W75" s="2" t="str">
        <f t="shared" si="3"/>
        <v>Nov</v>
      </c>
      <c r="X75">
        <f t="shared" si="4"/>
        <v>0.21258444041525998</v>
      </c>
      <c r="Y75" t="str">
        <f>UPPER(Table1[[#This Row],[CustomerName]])</f>
        <v>VIVAAN PATEL</v>
      </c>
      <c r="Z75" t="str">
        <f t="shared" si="5"/>
        <v>Vivaan</v>
      </c>
    </row>
    <row r="76" spans="1:26" x14ac:dyDescent="0.3">
      <c r="A76" t="s">
        <v>95</v>
      </c>
      <c r="B76" s="1">
        <v>45967</v>
      </c>
      <c r="C76" t="s">
        <v>321</v>
      </c>
      <c r="D76" t="s">
        <v>388</v>
      </c>
      <c r="E76" t="s">
        <v>447</v>
      </c>
      <c r="F76" t="s">
        <v>482</v>
      </c>
      <c r="G76">
        <v>43</v>
      </c>
      <c r="H76" t="s">
        <v>486</v>
      </c>
      <c r="I76" t="s">
        <v>500</v>
      </c>
      <c r="J76" t="s">
        <v>502</v>
      </c>
      <c r="K76" t="s">
        <v>515</v>
      </c>
      <c r="L76">
        <v>5</v>
      </c>
      <c r="M76">
        <v>1795.32</v>
      </c>
      <c r="N76">
        <v>0.02</v>
      </c>
      <c r="O76">
        <v>8797.07</v>
      </c>
      <c r="P76">
        <v>5509.05</v>
      </c>
      <c r="Q76">
        <v>3288.02</v>
      </c>
      <c r="R76" t="s">
        <v>527</v>
      </c>
      <c r="S76" t="s">
        <v>534</v>
      </c>
      <c r="T76" t="s">
        <v>538</v>
      </c>
      <c r="U76">
        <v>3</v>
      </c>
      <c r="V76">
        <v>2025</v>
      </c>
      <c r="W76" s="2" t="str">
        <f t="shared" si="3"/>
        <v>Nov</v>
      </c>
      <c r="X76">
        <f t="shared" si="4"/>
        <v>0.37376308248087148</v>
      </c>
      <c r="Y76" t="str">
        <f>UPPER(Table1[[#This Row],[CustomerName]])</f>
        <v>ARJUN SHAH</v>
      </c>
      <c r="Z76" t="str">
        <f t="shared" si="5"/>
        <v>Arjun</v>
      </c>
    </row>
    <row r="77" spans="1:26" x14ac:dyDescent="0.3">
      <c r="A77" t="s">
        <v>96</v>
      </c>
      <c r="B77" s="1">
        <v>46022</v>
      </c>
      <c r="C77" t="s">
        <v>322</v>
      </c>
      <c r="D77" t="s">
        <v>406</v>
      </c>
      <c r="E77" t="s">
        <v>465</v>
      </c>
      <c r="F77" t="s">
        <v>481</v>
      </c>
      <c r="G77">
        <v>33</v>
      </c>
      <c r="H77" t="s">
        <v>486</v>
      </c>
      <c r="I77" t="s">
        <v>501</v>
      </c>
      <c r="J77" t="s">
        <v>502</v>
      </c>
      <c r="K77" t="s">
        <v>515</v>
      </c>
      <c r="L77">
        <v>5</v>
      </c>
      <c r="M77">
        <v>1755.18</v>
      </c>
      <c r="N77">
        <v>0</v>
      </c>
      <c r="O77">
        <v>8775.9</v>
      </c>
      <c r="P77">
        <v>6165.58</v>
      </c>
      <c r="Q77">
        <v>2610.3200000000002</v>
      </c>
      <c r="R77" t="s">
        <v>530</v>
      </c>
      <c r="S77" t="s">
        <v>534</v>
      </c>
      <c r="T77" t="s">
        <v>538</v>
      </c>
      <c r="U77">
        <v>4</v>
      </c>
      <c r="V77">
        <v>2025</v>
      </c>
      <c r="W77" s="2" t="str">
        <f t="shared" si="3"/>
        <v>Dec</v>
      </c>
      <c r="X77">
        <f t="shared" si="4"/>
        <v>0.29744185781515287</v>
      </c>
      <c r="Y77" t="str">
        <f>UPPER(Table1[[#This Row],[CustomerName]])</f>
        <v>AVNI SHAH</v>
      </c>
      <c r="Z77" t="str">
        <f t="shared" si="5"/>
        <v>Avni</v>
      </c>
    </row>
    <row r="78" spans="1:26" x14ac:dyDescent="0.3">
      <c r="A78" t="s">
        <v>97</v>
      </c>
      <c r="B78" s="1">
        <v>45788</v>
      </c>
      <c r="C78" t="s">
        <v>323</v>
      </c>
      <c r="D78" t="s">
        <v>388</v>
      </c>
      <c r="E78" t="s">
        <v>447</v>
      </c>
      <c r="F78" t="s">
        <v>482</v>
      </c>
      <c r="G78">
        <v>43</v>
      </c>
      <c r="H78" t="s">
        <v>486</v>
      </c>
      <c r="I78" t="s">
        <v>500</v>
      </c>
      <c r="J78" t="s">
        <v>505</v>
      </c>
      <c r="K78" t="s">
        <v>520</v>
      </c>
      <c r="L78">
        <v>2</v>
      </c>
      <c r="M78">
        <v>2341.2399999999998</v>
      </c>
      <c r="N78">
        <v>0.1</v>
      </c>
      <c r="O78">
        <v>4214.2299999999996</v>
      </c>
      <c r="P78">
        <v>2690.01</v>
      </c>
      <c r="Q78">
        <v>1524.22</v>
      </c>
      <c r="R78" t="s">
        <v>528</v>
      </c>
      <c r="S78" t="s">
        <v>532</v>
      </c>
      <c r="T78" t="s">
        <v>540</v>
      </c>
      <c r="U78">
        <v>5</v>
      </c>
      <c r="V78">
        <v>2025</v>
      </c>
      <c r="W78" s="2" t="str">
        <f t="shared" si="3"/>
        <v>May</v>
      </c>
      <c r="X78">
        <f t="shared" si="4"/>
        <v>0.36168410362035297</v>
      </c>
      <c r="Y78" t="str">
        <f>UPPER(Table1[[#This Row],[CustomerName]])</f>
        <v>ARJUN SHAH</v>
      </c>
      <c r="Z78" t="str">
        <f t="shared" si="5"/>
        <v>Arjun</v>
      </c>
    </row>
    <row r="79" spans="1:26" x14ac:dyDescent="0.3">
      <c r="A79" t="s">
        <v>98</v>
      </c>
      <c r="B79" s="1">
        <v>45960</v>
      </c>
      <c r="C79" t="s">
        <v>324</v>
      </c>
      <c r="D79" t="s">
        <v>407</v>
      </c>
      <c r="E79" t="s">
        <v>466</v>
      </c>
      <c r="F79" t="s">
        <v>482</v>
      </c>
      <c r="G79">
        <v>23</v>
      </c>
      <c r="H79" t="s">
        <v>486</v>
      </c>
      <c r="I79" t="s">
        <v>501</v>
      </c>
      <c r="J79" t="s">
        <v>504</v>
      </c>
      <c r="K79" t="s">
        <v>516</v>
      </c>
      <c r="L79">
        <v>5</v>
      </c>
      <c r="M79">
        <v>937.3</v>
      </c>
      <c r="N79">
        <v>0.1</v>
      </c>
      <c r="O79">
        <v>4217.8500000000004</v>
      </c>
      <c r="P79">
        <v>3199.05</v>
      </c>
      <c r="Q79">
        <v>1018.8</v>
      </c>
      <c r="R79" t="s">
        <v>529</v>
      </c>
      <c r="S79" t="s">
        <v>533</v>
      </c>
      <c r="T79" t="s">
        <v>538</v>
      </c>
      <c r="U79">
        <v>4</v>
      </c>
      <c r="V79">
        <v>2025</v>
      </c>
      <c r="W79" s="2" t="str">
        <f t="shared" si="3"/>
        <v>Oct</v>
      </c>
      <c r="X79">
        <f t="shared" si="4"/>
        <v>0.24154486290408617</v>
      </c>
      <c r="Y79" t="str">
        <f>UPPER(Table1[[#This Row],[CustomerName]])</f>
        <v>JIYA SHAH</v>
      </c>
      <c r="Z79" t="str">
        <f t="shared" si="5"/>
        <v>Jiya</v>
      </c>
    </row>
    <row r="80" spans="1:26" x14ac:dyDescent="0.3">
      <c r="A80" t="s">
        <v>99</v>
      </c>
      <c r="B80" s="1">
        <v>46022</v>
      </c>
      <c r="C80" t="s">
        <v>325</v>
      </c>
      <c r="D80" t="s">
        <v>408</v>
      </c>
      <c r="E80" t="s">
        <v>467</v>
      </c>
      <c r="F80" t="s">
        <v>482</v>
      </c>
      <c r="G80">
        <v>34</v>
      </c>
      <c r="H80" t="s">
        <v>484</v>
      </c>
      <c r="I80" t="s">
        <v>488</v>
      </c>
      <c r="J80" t="s">
        <v>505</v>
      </c>
      <c r="K80" t="s">
        <v>522</v>
      </c>
      <c r="L80">
        <v>1</v>
      </c>
      <c r="M80">
        <v>4744.46</v>
      </c>
      <c r="N80">
        <v>0.1</v>
      </c>
      <c r="O80">
        <v>4270.01</v>
      </c>
      <c r="P80">
        <v>3051.53</v>
      </c>
      <c r="Q80">
        <v>1218.48</v>
      </c>
      <c r="R80" t="s">
        <v>530</v>
      </c>
      <c r="S80" t="s">
        <v>532</v>
      </c>
      <c r="T80" t="s">
        <v>540</v>
      </c>
      <c r="U80">
        <v>3</v>
      </c>
      <c r="V80">
        <v>2025</v>
      </c>
      <c r="W80" s="2" t="str">
        <f t="shared" si="3"/>
        <v>Dec</v>
      </c>
      <c r="X80">
        <f t="shared" si="4"/>
        <v>0.28535764553244602</v>
      </c>
      <c r="Y80" t="str">
        <f>UPPER(Table1[[#This Row],[CustomerName]])</f>
        <v>NISHA PATEL</v>
      </c>
      <c r="Z80" t="str">
        <f t="shared" si="5"/>
        <v>Nisha</v>
      </c>
    </row>
    <row r="81" spans="1:26" x14ac:dyDescent="0.3">
      <c r="A81" t="s">
        <v>100</v>
      </c>
      <c r="B81" s="1">
        <v>45872</v>
      </c>
      <c r="C81" t="s">
        <v>321</v>
      </c>
      <c r="D81" t="s">
        <v>406</v>
      </c>
      <c r="E81" t="s">
        <v>465</v>
      </c>
      <c r="F81" t="s">
        <v>481</v>
      </c>
      <c r="G81">
        <v>33</v>
      </c>
      <c r="H81" t="s">
        <v>486</v>
      </c>
      <c r="I81" t="s">
        <v>501</v>
      </c>
      <c r="J81" t="s">
        <v>504</v>
      </c>
      <c r="K81" t="s">
        <v>516</v>
      </c>
      <c r="L81">
        <v>3</v>
      </c>
      <c r="M81">
        <v>873.95</v>
      </c>
      <c r="N81">
        <v>0.02</v>
      </c>
      <c r="O81">
        <v>2569.41</v>
      </c>
      <c r="P81">
        <v>1924.26</v>
      </c>
      <c r="Q81">
        <v>645.15</v>
      </c>
      <c r="R81" t="s">
        <v>528</v>
      </c>
      <c r="S81" t="s">
        <v>536</v>
      </c>
      <c r="T81" t="s">
        <v>540</v>
      </c>
      <c r="U81">
        <v>3</v>
      </c>
      <c r="V81">
        <v>2025</v>
      </c>
      <c r="W81" s="2" t="str">
        <f t="shared" si="3"/>
        <v>Aug</v>
      </c>
      <c r="X81">
        <f t="shared" si="4"/>
        <v>0.25108877135217811</v>
      </c>
      <c r="Y81" t="str">
        <f>UPPER(Table1[[#This Row],[CustomerName]])</f>
        <v>AVNI SHAH</v>
      </c>
      <c r="Z81" t="str">
        <f t="shared" si="5"/>
        <v>Avni</v>
      </c>
    </row>
    <row r="82" spans="1:26" x14ac:dyDescent="0.3">
      <c r="A82" t="s">
        <v>101</v>
      </c>
      <c r="B82" s="1">
        <v>45828</v>
      </c>
      <c r="C82" t="s">
        <v>310</v>
      </c>
      <c r="D82" t="s">
        <v>379</v>
      </c>
      <c r="E82" t="s">
        <v>438</v>
      </c>
      <c r="F82" t="s">
        <v>482</v>
      </c>
      <c r="G82">
        <v>49</v>
      </c>
      <c r="H82" t="s">
        <v>486</v>
      </c>
      <c r="I82" t="s">
        <v>497</v>
      </c>
      <c r="J82" t="s">
        <v>506</v>
      </c>
      <c r="K82" t="s">
        <v>526</v>
      </c>
      <c r="L82">
        <v>1</v>
      </c>
      <c r="M82">
        <v>1811.06</v>
      </c>
      <c r="N82">
        <v>0.15</v>
      </c>
      <c r="O82">
        <v>1539.4</v>
      </c>
      <c r="P82">
        <v>1052.57</v>
      </c>
      <c r="Q82">
        <v>486.83</v>
      </c>
      <c r="R82" t="s">
        <v>531</v>
      </c>
      <c r="S82" t="s">
        <v>532</v>
      </c>
      <c r="T82" t="s">
        <v>539</v>
      </c>
      <c r="U82">
        <v>5</v>
      </c>
      <c r="V82">
        <v>2025</v>
      </c>
      <c r="W82" s="2" t="str">
        <f t="shared" si="3"/>
        <v>Jun</v>
      </c>
      <c r="X82">
        <f t="shared" si="4"/>
        <v>0.31624658958035595</v>
      </c>
      <c r="Y82" t="str">
        <f>UPPER(Table1[[#This Row],[CustomerName]])</f>
        <v>RAHUL SHAH</v>
      </c>
      <c r="Z82" t="str">
        <f t="shared" si="5"/>
        <v>Rahul</v>
      </c>
    </row>
    <row r="83" spans="1:26" x14ac:dyDescent="0.3">
      <c r="A83" t="s">
        <v>102</v>
      </c>
      <c r="B83" s="1">
        <v>45968</v>
      </c>
      <c r="C83" t="s">
        <v>306</v>
      </c>
      <c r="D83" t="s">
        <v>367</v>
      </c>
      <c r="E83" t="s">
        <v>426</v>
      </c>
      <c r="F83" t="s">
        <v>482</v>
      </c>
      <c r="G83">
        <v>56</v>
      </c>
      <c r="H83" t="s">
        <v>483</v>
      </c>
      <c r="I83" t="s">
        <v>490</v>
      </c>
      <c r="J83" t="s">
        <v>504</v>
      </c>
      <c r="K83" t="s">
        <v>516</v>
      </c>
      <c r="L83">
        <v>5</v>
      </c>
      <c r="M83">
        <v>904.17</v>
      </c>
      <c r="N83">
        <v>0.05</v>
      </c>
      <c r="O83">
        <v>4294.8100000000004</v>
      </c>
      <c r="P83">
        <v>2722.94</v>
      </c>
      <c r="Q83">
        <v>1571.87</v>
      </c>
      <c r="R83" t="s">
        <v>527</v>
      </c>
      <c r="S83" t="s">
        <v>535</v>
      </c>
      <c r="T83" t="s">
        <v>538</v>
      </c>
      <c r="U83">
        <v>4</v>
      </c>
      <c r="V83">
        <v>2025</v>
      </c>
      <c r="W83" s="2" t="str">
        <f t="shared" si="3"/>
        <v>Nov</v>
      </c>
      <c r="X83">
        <f t="shared" si="4"/>
        <v>0.36599290771885129</v>
      </c>
      <c r="Y83" t="str">
        <f>UPPER(Table1[[#This Row],[CustomerName]])</f>
        <v>VIVAAN PATEL</v>
      </c>
      <c r="Z83" t="str">
        <f t="shared" si="5"/>
        <v>Vivaan</v>
      </c>
    </row>
    <row r="84" spans="1:26" x14ac:dyDescent="0.3">
      <c r="A84" t="s">
        <v>103</v>
      </c>
      <c r="B84" s="1">
        <v>45893</v>
      </c>
      <c r="C84" t="s">
        <v>326</v>
      </c>
      <c r="D84" t="s">
        <v>381</v>
      </c>
      <c r="E84" t="s">
        <v>440</v>
      </c>
      <c r="F84" t="s">
        <v>482</v>
      </c>
      <c r="G84">
        <v>54</v>
      </c>
      <c r="H84" t="s">
        <v>485</v>
      </c>
      <c r="I84" t="s">
        <v>498</v>
      </c>
      <c r="J84" t="s">
        <v>504</v>
      </c>
      <c r="K84" t="s">
        <v>516</v>
      </c>
      <c r="L84">
        <v>1</v>
      </c>
      <c r="M84">
        <v>938.63</v>
      </c>
      <c r="N84">
        <v>0</v>
      </c>
      <c r="O84">
        <v>938.63</v>
      </c>
      <c r="P84">
        <v>645.1</v>
      </c>
      <c r="Q84">
        <v>293.52999999999997</v>
      </c>
      <c r="R84" t="s">
        <v>527</v>
      </c>
      <c r="S84" t="s">
        <v>535</v>
      </c>
      <c r="T84" t="s">
        <v>538</v>
      </c>
      <c r="U84">
        <v>3</v>
      </c>
      <c r="V84">
        <v>2025</v>
      </c>
      <c r="W84" s="2" t="str">
        <f t="shared" si="3"/>
        <v>Aug</v>
      </c>
      <c r="X84">
        <f t="shared" si="4"/>
        <v>0.31272173273813958</v>
      </c>
      <c r="Y84" t="str">
        <f>UPPER(Table1[[#This Row],[CustomerName]])</f>
        <v>AANYA SHAH</v>
      </c>
      <c r="Z84" t="str">
        <f t="shared" si="5"/>
        <v>Aanya</v>
      </c>
    </row>
    <row r="85" spans="1:26" x14ac:dyDescent="0.3">
      <c r="A85" t="s">
        <v>104</v>
      </c>
      <c r="B85" s="1">
        <v>45799</v>
      </c>
      <c r="C85" t="s">
        <v>304</v>
      </c>
      <c r="D85" t="s">
        <v>391</v>
      </c>
      <c r="E85" t="s">
        <v>450</v>
      </c>
      <c r="F85" t="s">
        <v>481</v>
      </c>
      <c r="G85">
        <v>30</v>
      </c>
      <c r="H85" t="s">
        <v>486</v>
      </c>
      <c r="I85" t="s">
        <v>497</v>
      </c>
      <c r="J85" t="s">
        <v>504</v>
      </c>
      <c r="K85" t="s">
        <v>517</v>
      </c>
      <c r="L85">
        <v>5</v>
      </c>
      <c r="M85">
        <v>278.02</v>
      </c>
      <c r="N85">
        <v>0</v>
      </c>
      <c r="O85">
        <v>1390.1</v>
      </c>
      <c r="P85">
        <v>1114.95</v>
      </c>
      <c r="Q85">
        <v>275.14999999999998</v>
      </c>
      <c r="R85" t="s">
        <v>529</v>
      </c>
      <c r="S85" t="s">
        <v>532</v>
      </c>
      <c r="T85" t="s">
        <v>538</v>
      </c>
      <c r="U85">
        <v>3</v>
      </c>
      <c r="V85">
        <v>2025</v>
      </c>
      <c r="W85" s="2" t="str">
        <f t="shared" si="3"/>
        <v>May</v>
      </c>
      <c r="X85">
        <f t="shared" si="4"/>
        <v>0.19793540033091145</v>
      </c>
      <c r="Y85" t="str">
        <f>UPPER(Table1[[#This Row],[CustomerName]])</f>
        <v>MANAV SHAH</v>
      </c>
      <c r="Z85" t="str">
        <f t="shared" si="5"/>
        <v>Manav</v>
      </c>
    </row>
    <row r="86" spans="1:26" x14ac:dyDescent="0.3">
      <c r="A86" t="s">
        <v>105</v>
      </c>
      <c r="B86" s="1">
        <v>45950</v>
      </c>
      <c r="C86" t="s">
        <v>327</v>
      </c>
      <c r="D86" t="s">
        <v>406</v>
      </c>
      <c r="E86" t="s">
        <v>465</v>
      </c>
      <c r="F86" t="s">
        <v>481</v>
      </c>
      <c r="G86">
        <v>33</v>
      </c>
      <c r="H86" t="s">
        <v>486</v>
      </c>
      <c r="I86" t="s">
        <v>501</v>
      </c>
      <c r="J86" t="s">
        <v>502</v>
      </c>
      <c r="K86" t="s">
        <v>507</v>
      </c>
      <c r="L86">
        <v>3</v>
      </c>
      <c r="M86">
        <v>2980.87</v>
      </c>
      <c r="N86">
        <v>0.02</v>
      </c>
      <c r="O86">
        <v>8763.76</v>
      </c>
      <c r="P86">
        <v>5726.3</v>
      </c>
      <c r="Q86">
        <v>3037.46</v>
      </c>
      <c r="R86" t="s">
        <v>527</v>
      </c>
      <c r="S86" t="s">
        <v>536</v>
      </c>
      <c r="T86" t="s">
        <v>540</v>
      </c>
      <c r="U86">
        <v>5</v>
      </c>
      <c r="V86">
        <v>2025</v>
      </c>
      <c r="W86" s="2" t="str">
        <f t="shared" si="3"/>
        <v>Oct</v>
      </c>
      <c r="X86">
        <f t="shared" si="4"/>
        <v>0.34659324308287764</v>
      </c>
      <c r="Y86" t="str">
        <f>UPPER(Table1[[#This Row],[CustomerName]])</f>
        <v>AVNI SHAH</v>
      </c>
      <c r="Z86" t="str">
        <f t="shared" si="5"/>
        <v>Avni</v>
      </c>
    </row>
    <row r="87" spans="1:26" x14ac:dyDescent="0.3">
      <c r="A87" t="s">
        <v>106</v>
      </c>
      <c r="B87" s="1">
        <v>45900</v>
      </c>
      <c r="C87" t="s">
        <v>278</v>
      </c>
      <c r="D87" t="s">
        <v>385</v>
      </c>
      <c r="E87" t="s">
        <v>444</v>
      </c>
      <c r="F87" t="s">
        <v>481</v>
      </c>
      <c r="G87">
        <v>19</v>
      </c>
      <c r="H87" t="s">
        <v>483</v>
      </c>
      <c r="I87" t="s">
        <v>493</v>
      </c>
      <c r="J87" t="s">
        <v>505</v>
      </c>
      <c r="K87" t="s">
        <v>510</v>
      </c>
      <c r="L87">
        <v>1</v>
      </c>
      <c r="M87">
        <v>28494.9</v>
      </c>
      <c r="N87">
        <v>0.05</v>
      </c>
      <c r="O87">
        <v>27070.15</v>
      </c>
      <c r="P87">
        <v>21256.6</v>
      </c>
      <c r="Q87">
        <v>5813.55</v>
      </c>
      <c r="R87" t="s">
        <v>530</v>
      </c>
      <c r="S87" t="s">
        <v>535</v>
      </c>
      <c r="T87" t="s">
        <v>538</v>
      </c>
      <c r="U87">
        <v>4</v>
      </c>
      <c r="V87">
        <v>2025</v>
      </c>
      <c r="W87" s="2" t="str">
        <f t="shared" si="3"/>
        <v>Aug</v>
      </c>
      <c r="X87">
        <f t="shared" si="4"/>
        <v>0.21475869176934742</v>
      </c>
      <c r="Y87" t="str">
        <f>UPPER(Table1[[#This Row],[CustomerName]])</f>
        <v>KHUSHI SHAH</v>
      </c>
      <c r="Z87" t="str">
        <f t="shared" si="5"/>
        <v>Khushi</v>
      </c>
    </row>
    <row r="88" spans="1:26" x14ac:dyDescent="0.3">
      <c r="A88" t="s">
        <v>107</v>
      </c>
      <c r="B88" s="1">
        <v>45756</v>
      </c>
      <c r="C88" t="s">
        <v>320</v>
      </c>
      <c r="D88" t="s">
        <v>382</v>
      </c>
      <c r="E88" t="s">
        <v>441</v>
      </c>
      <c r="F88" t="s">
        <v>482</v>
      </c>
      <c r="G88">
        <v>32</v>
      </c>
      <c r="H88" t="s">
        <v>485</v>
      </c>
      <c r="I88" t="s">
        <v>489</v>
      </c>
      <c r="J88" t="s">
        <v>502</v>
      </c>
      <c r="K88" t="s">
        <v>507</v>
      </c>
      <c r="L88">
        <v>2</v>
      </c>
      <c r="M88">
        <v>2806.83</v>
      </c>
      <c r="N88">
        <v>0.02</v>
      </c>
      <c r="O88">
        <v>5501.39</v>
      </c>
      <c r="P88">
        <v>4176.68</v>
      </c>
      <c r="Q88">
        <v>1324.71</v>
      </c>
      <c r="R88" t="s">
        <v>528</v>
      </c>
      <c r="S88" t="s">
        <v>534</v>
      </c>
      <c r="T88" t="s">
        <v>540</v>
      </c>
      <c r="U88">
        <v>4</v>
      </c>
      <c r="V88">
        <v>2025</v>
      </c>
      <c r="W88" s="2" t="str">
        <f t="shared" si="3"/>
        <v>Apr</v>
      </c>
      <c r="X88">
        <f t="shared" si="4"/>
        <v>0.24079550804433061</v>
      </c>
      <c r="Y88" t="str">
        <f>UPPER(Table1[[#This Row],[CustomerName]])</f>
        <v>YASH PATEL</v>
      </c>
      <c r="Z88" t="str">
        <f t="shared" si="5"/>
        <v>Yash</v>
      </c>
    </row>
    <row r="89" spans="1:26" x14ac:dyDescent="0.3">
      <c r="A89" t="s">
        <v>108</v>
      </c>
      <c r="B89" s="1">
        <v>45746</v>
      </c>
      <c r="C89" t="s">
        <v>289</v>
      </c>
      <c r="D89" t="s">
        <v>393</v>
      </c>
      <c r="E89" t="s">
        <v>452</v>
      </c>
      <c r="F89" t="s">
        <v>481</v>
      </c>
      <c r="G89">
        <v>50</v>
      </c>
      <c r="H89" t="s">
        <v>485</v>
      </c>
      <c r="I89" t="s">
        <v>496</v>
      </c>
      <c r="J89" t="s">
        <v>502</v>
      </c>
      <c r="K89" t="s">
        <v>515</v>
      </c>
      <c r="L89">
        <v>3</v>
      </c>
      <c r="M89">
        <v>1908.71</v>
      </c>
      <c r="N89">
        <v>0.05</v>
      </c>
      <c r="O89">
        <v>5439.82</v>
      </c>
      <c r="P89">
        <v>3669.66</v>
      </c>
      <c r="Q89">
        <v>1770.16</v>
      </c>
      <c r="R89" t="s">
        <v>530</v>
      </c>
      <c r="S89" t="s">
        <v>532</v>
      </c>
      <c r="T89" t="s">
        <v>540</v>
      </c>
      <c r="U89">
        <v>5</v>
      </c>
      <c r="V89">
        <v>2025</v>
      </c>
      <c r="W89" s="2" t="str">
        <f t="shared" si="3"/>
        <v>Mar</v>
      </c>
      <c r="X89">
        <f t="shared" si="4"/>
        <v>0.32540782599424251</v>
      </c>
      <c r="Y89" t="str">
        <f>UPPER(Table1[[#This Row],[CustomerName]])</f>
        <v>DIYA SHAH</v>
      </c>
      <c r="Z89" t="str">
        <f t="shared" si="5"/>
        <v>Diya</v>
      </c>
    </row>
    <row r="90" spans="1:26" x14ac:dyDescent="0.3">
      <c r="A90" t="s">
        <v>109</v>
      </c>
      <c r="B90" s="1">
        <v>45666</v>
      </c>
      <c r="C90" t="s">
        <v>328</v>
      </c>
      <c r="D90" t="s">
        <v>409</v>
      </c>
      <c r="E90" t="s">
        <v>468</v>
      </c>
      <c r="F90" t="s">
        <v>482</v>
      </c>
      <c r="G90">
        <v>37</v>
      </c>
      <c r="H90" t="s">
        <v>483</v>
      </c>
      <c r="I90" t="s">
        <v>487</v>
      </c>
      <c r="J90" t="s">
        <v>502</v>
      </c>
      <c r="K90" t="s">
        <v>507</v>
      </c>
      <c r="L90">
        <v>2</v>
      </c>
      <c r="M90">
        <v>2758.99</v>
      </c>
      <c r="N90">
        <v>0.15</v>
      </c>
      <c r="O90">
        <v>4690.28</v>
      </c>
      <c r="P90">
        <v>3151.64</v>
      </c>
      <c r="Q90">
        <v>1538.64</v>
      </c>
      <c r="R90" t="s">
        <v>530</v>
      </c>
      <c r="S90" t="s">
        <v>533</v>
      </c>
      <c r="T90" t="s">
        <v>538</v>
      </c>
      <c r="U90">
        <v>5</v>
      </c>
      <c r="V90">
        <v>2025</v>
      </c>
      <c r="W90" s="2" t="str">
        <f t="shared" si="3"/>
        <v>Jan</v>
      </c>
      <c r="X90">
        <f t="shared" si="4"/>
        <v>0.3280486452834373</v>
      </c>
      <c r="Y90" t="str">
        <f>UPPER(Table1[[#This Row],[CustomerName]])</f>
        <v>KABIR SHAH</v>
      </c>
      <c r="Z90" t="str">
        <f t="shared" si="5"/>
        <v>Kabir</v>
      </c>
    </row>
    <row r="91" spans="1:26" x14ac:dyDescent="0.3">
      <c r="A91" t="s">
        <v>110</v>
      </c>
      <c r="B91" s="1">
        <v>45941</v>
      </c>
      <c r="C91" t="s">
        <v>300</v>
      </c>
      <c r="D91" t="s">
        <v>410</v>
      </c>
      <c r="E91" t="s">
        <v>469</v>
      </c>
      <c r="F91" t="s">
        <v>481</v>
      </c>
      <c r="G91">
        <v>32</v>
      </c>
      <c r="H91" t="s">
        <v>485</v>
      </c>
      <c r="I91" t="s">
        <v>489</v>
      </c>
      <c r="J91" t="s">
        <v>504</v>
      </c>
      <c r="K91" t="s">
        <v>511</v>
      </c>
      <c r="L91">
        <v>5</v>
      </c>
      <c r="M91">
        <v>249.22</v>
      </c>
      <c r="N91">
        <v>0.1</v>
      </c>
      <c r="O91">
        <v>1121.49</v>
      </c>
      <c r="P91">
        <v>898.65</v>
      </c>
      <c r="Q91">
        <v>222.84</v>
      </c>
      <c r="R91" t="s">
        <v>528</v>
      </c>
      <c r="S91" t="s">
        <v>533</v>
      </c>
      <c r="T91" t="s">
        <v>538</v>
      </c>
      <c r="U91">
        <v>5</v>
      </c>
      <c r="V91">
        <v>2025</v>
      </c>
      <c r="W91" s="2" t="str">
        <f t="shared" si="3"/>
        <v>Oct</v>
      </c>
      <c r="X91">
        <f t="shared" si="4"/>
        <v>0.19869994382473316</v>
      </c>
      <c r="Y91" t="str">
        <f>UPPER(Table1[[#This Row],[CustomerName]])</f>
        <v>ISHA SHAH</v>
      </c>
      <c r="Z91" t="str">
        <f t="shared" si="5"/>
        <v>Isha</v>
      </c>
    </row>
    <row r="92" spans="1:26" x14ac:dyDescent="0.3">
      <c r="A92" t="s">
        <v>111</v>
      </c>
      <c r="B92" s="1">
        <v>45919</v>
      </c>
      <c r="C92" t="s">
        <v>329</v>
      </c>
      <c r="D92" t="s">
        <v>366</v>
      </c>
      <c r="E92" t="s">
        <v>425</v>
      </c>
      <c r="F92" t="s">
        <v>482</v>
      </c>
      <c r="G92">
        <v>22</v>
      </c>
      <c r="H92" t="s">
        <v>483</v>
      </c>
      <c r="I92" t="s">
        <v>490</v>
      </c>
      <c r="J92" t="s">
        <v>504</v>
      </c>
      <c r="K92" t="s">
        <v>511</v>
      </c>
      <c r="L92">
        <v>1</v>
      </c>
      <c r="M92">
        <v>236.29</v>
      </c>
      <c r="N92">
        <v>0</v>
      </c>
      <c r="O92">
        <v>236.29</v>
      </c>
      <c r="P92">
        <v>162.28</v>
      </c>
      <c r="Q92">
        <v>74.010000000000005</v>
      </c>
      <c r="R92" t="s">
        <v>530</v>
      </c>
      <c r="S92" t="s">
        <v>532</v>
      </c>
      <c r="T92" t="s">
        <v>539</v>
      </c>
      <c r="U92">
        <v>3</v>
      </c>
      <c r="V92">
        <v>2025</v>
      </c>
      <c r="W92" s="2" t="str">
        <f t="shared" si="3"/>
        <v>Sep</v>
      </c>
      <c r="X92">
        <f t="shared" si="4"/>
        <v>0.31321680985230016</v>
      </c>
      <c r="Y92" t="str">
        <f>UPPER(Table1[[#This Row],[CustomerName]])</f>
        <v>ADITYA SHAH</v>
      </c>
      <c r="Z92" t="str">
        <f t="shared" si="5"/>
        <v>Aditya</v>
      </c>
    </row>
    <row r="93" spans="1:26" x14ac:dyDescent="0.3">
      <c r="A93" t="s">
        <v>112</v>
      </c>
      <c r="B93" s="1">
        <v>45845</v>
      </c>
      <c r="C93" t="s">
        <v>330</v>
      </c>
      <c r="D93" t="s">
        <v>411</v>
      </c>
      <c r="E93" t="s">
        <v>470</v>
      </c>
      <c r="F93" t="s">
        <v>482</v>
      </c>
      <c r="G93">
        <v>22</v>
      </c>
      <c r="H93" t="s">
        <v>483</v>
      </c>
      <c r="I93" t="s">
        <v>490</v>
      </c>
      <c r="J93" t="s">
        <v>504</v>
      </c>
      <c r="K93" t="s">
        <v>517</v>
      </c>
      <c r="L93">
        <v>1</v>
      </c>
      <c r="M93">
        <v>277.39999999999998</v>
      </c>
      <c r="N93">
        <v>0.02</v>
      </c>
      <c r="O93">
        <v>271.85000000000002</v>
      </c>
      <c r="P93">
        <v>175.55</v>
      </c>
      <c r="Q93">
        <v>96.3</v>
      </c>
      <c r="R93" t="s">
        <v>528</v>
      </c>
      <c r="S93" t="s">
        <v>535</v>
      </c>
      <c r="T93" t="s">
        <v>538</v>
      </c>
      <c r="U93">
        <v>4</v>
      </c>
      <c r="V93">
        <v>2025</v>
      </c>
      <c r="W93" s="2" t="str">
        <f t="shared" si="3"/>
        <v>Jul</v>
      </c>
      <c r="X93">
        <f t="shared" si="4"/>
        <v>0.35423947029611913</v>
      </c>
      <c r="Y93" t="str">
        <f>UPPER(Table1[[#This Row],[CustomerName]])</f>
        <v>POOJA PATEL</v>
      </c>
      <c r="Z93" t="str">
        <f t="shared" si="5"/>
        <v>Pooja</v>
      </c>
    </row>
    <row r="94" spans="1:26" x14ac:dyDescent="0.3">
      <c r="A94" t="s">
        <v>113</v>
      </c>
      <c r="B94" s="1">
        <v>45915</v>
      </c>
      <c r="C94" t="s">
        <v>331</v>
      </c>
      <c r="D94" t="s">
        <v>395</v>
      </c>
      <c r="E94" t="s">
        <v>454</v>
      </c>
      <c r="F94" t="s">
        <v>481</v>
      </c>
      <c r="G94">
        <v>49</v>
      </c>
      <c r="H94" t="s">
        <v>485</v>
      </c>
      <c r="I94" t="s">
        <v>498</v>
      </c>
      <c r="J94" t="s">
        <v>505</v>
      </c>
      <c r="K94" t="s">
        <v>518</v>
      </c>
      <c r="L94">
        <v>3</v>
      </c>
      <c r="M94">
        <v>59234.44</v>
      </c>
      <c r="N94">
        <v>0</v>
      </c>
      <c r="O94">
        <v>177703.32</v>
      </c>
      <c r="P94">
        <v>114293.23</v>
      </c>
      <c r="Q94">
        <v>63410.09</v>
      </c>
      <c r="R94" t="s">
        <v>531</v>
      </c>
      <c r="S94" t="s">
        <v>536</v>
      </c>
      <c r="T94" t="s">
        <v>540</v>
      </c>
      <c r="U94">
        <v>5</v>
      </c>
      <c r="V94">
        <v>2025</v>
      </c>
      <c r="W94" s="2" t="str">
        <f t="shared" si="3"/>
        <v>Sep</v>
      </c>
      <c r="X94">
        <f t="shared" si="4"/>
        <v>0.35683120607988639</v>
      </c>
      <c r="Y94" t="str">
        <f>UPPER(Table1[[#This Row],[CustomerName]])</f>
        <v>ROHAN SHAH</v>
      </c>
      <c r="Z94" t="str">
        <f t="shared" si="5"/>
        <v>Rohan</v>
      </c>
    </row>
    <row r="95" spans="1:26" x14ac:dyDescent="0.3">
      <c r="A95" t="s">
        <v>114</v>
      </c>
      <c r="B95" s="1">
        <v>45983</v>
      </c>
      <c r="C95" t="s">
        <v>332</v>
      </c>
      <c r="D95" t="s">
        <v>410</v>
      </c>
      <c r="E95" t="s">
        <v>469</v>
      </c>
      <c r="F95" t="s">
        <v>481</v>
      </c>
      <c r="G95">
        <v>32</v>
      </c>
      <c r="H95" t="s">
        <v>485</v>
      </c>
      <c r="I95" t="s">
        <v>489</v>
      </c>
      <c r="J95" t="s">
        <v>505</v>
      </c>
      <c r="K95" t="s">
        <v>518</v>
      </c>
      <c r="L95">
        <v>2</v>
      </c>
      <c r="M95">
        <v>53608.480000000003</v>
      </c>
      <c r="N95">
        <v>0.08</v>
      </c>
      <c r="O95">
        <v>98639.6</v>
      </c>
      <c r="P95">
        <v>64697.66</v>
      </c>
      <c r="Q95">
        <v>33941.94</v>
      </c>
      <c r="R95" t="s">
        <v>530</v>
      </c>
      <c r="S95" t="s">
        <v>535</v>
      </c>
      <c r="T95" t="s">
        <v>538</v>
      </c>
      <c r="U95">
        <v>4</v>
      </c>
      <c r="V95">
        <v>2025</v>
      </c>
      <c r="W95" s="2" t="str">
        <f t="shared" si="3"/>
        <v>Nov</v>
      </c>
      <c r="X95">
        <f t="shared" si="4"/>
        <v>0.34410054379782562</v>
      </c>
      <c r="Y95" t="str">
        <f>UPPER(Table1[[#This Row],[CustomerName]])</f>
        <v>ISHA SHAH</v>
      </c>
      <c r="Z95" t="str">
        <f t="shared" si="5"/>
        <v>Isha</v>
      </c>
    </row>
    <row r="96" spans="1:26" x14ac:dyDescent="0.3">
      <c r="A96" t="s">
        <v>115</v>
      </c>
      <c r="B96" s="1">
        <v>45899</v>
      </c>
      <c r="C96" t="s">
        <v>333</v>
      </c>
      <c r="D96" t="s">
        <v>395</v>
      </c>
      <c r="E96" t="s">
        <v>454</v>
      </c>
      <c r="F96" t="s">
        <v>481</v>
      </c>
      <c r="G96">
        <v>49</v>
      </c>
      <c r="H96" t="s">
        <v>485</v>
      </c>
      <c r="I96" t="s">
        <v>498</v>
      </c>
      <c r="J96" t="s">
        <v>505</v>
      </c>
      <c r="K96" t="s">
        <v>522</v>
      </c>
      <c r="L96">
        <v>1</v>
      </c>
      <c r="M96">
        <v>5065.74</v>
      </c>
      <c r="N96">
        <v>0</v>
      </c>
      <c r="O96">
        <v>5065.74</v>
      </c>
      <c r="P96">
        <v>3199.44</v>
      </c>
      <c r="Q96">
        <v>1866.3</v>
      </c>
      <c r="R96" t="s">
        <v>528</v>
      </c>
      <c r="S96" t="s">
        <v>533</v>
      </c>
      <c r="T96" t="s">
        <v>539</v>
      </c>
      <c r="U96">
        <v>5</v>
      </c>
      <c r="V96">
        <v>2025</v>
      </c>
      <c r="W96" s="2" t="str">
        <f t="shared" si="3"/>
        <v>Aug</v>
      </c>
      <c r="X96">
        <f t="shared" si="4"/>
        <v>0.36841606556988715</v>
      </c>
      <c r="Y96" t="str">
        <f>UPPER(Table1[[#This Row],[CustomerName]])</f>
        <v>ROHAN SHAH</v>
      </c>
      <c r="Z96" t="str">
        <f t="shared" si="5"/>
        <v>Rohan</v>
      </c>
    </row>
    <row r="97" spans="1:26" x14ac:dyDescent="0.3">
      <c r="A97" t="s">
        <v>116</v>
      </c>
      <c r="B97" s="1">
        <v>45861</v>
      </c>
      <c r="C97" t="s">
        <v>333</v>
      </c>
      <c r="D97" t="s">
        <v>363</v>
      </c>
      <c r="E97" t="s">
        <v>422</v>
      </c>
      <c r="F97" t="s">
        <v>481</v>
      </c>
      <c r="G97">
        <v>51</v>
      </c>
      <c r="H97" t="s">
        <v>483</v>
      </c>
      <c r="I97" t="s">
        <v>487</v>
      </c>
      <c r="J97" t="s">
        <v>505</v>
      </c>
      <c r="K97" t="s">
        <v>518</v>
      </c>
      <c r="L97">
        <v>4</v>
      </c>
      <c r="M97">
        <v>50816.36</v>
      </c>
      <c r="N97">
        <v>0.05</v>
      </c>
      <c r="O97">
        <v>193102.17</v>
      </c>
      <c r="P97">
        <v>151450.53</v>
      </c>
      <c r="Q97">
        <v>41651.64</v>
      </c>
      <c r="R97" t="s">
        <v>528</v>
      </c>
      <c r="S97" t="s">
        <v>534</v>
      </c>
      <c r="T97" t="s">
        <v>538</v>
      </c>
      <c r="U97">
        <v>4</v>
      </c>
      <c r="V97">
        <v>2025</v>
      </c>
      <c r="W97" s="2" t="str">
        <f t="shared" si="3"/>
        <v>Jul</v>
      </c>
      <c r="X97">
        <f t="shared" si="4"/>
        <v>0.21569742069703307</v>
      </c>
      <c r="Y97" t="str">
        <f>UPPER(Table1[[#This Row],[CustomerName]])</f>
        <v>AVNI PATEL</v>
      </c>
      <c r="Z97" t="str">
        <f t="shared" si="5"/>
        <v>Avni</v>
      </c>
    </row>
    <row r="98" spans="1:26" x14ac:dyDescent="0.3">
      <c r="A98" t="s">
        <v>117</v>
      </c>
      <c r="B98" s="1">
        <v>45883</v>
      </c>
      <c r="C98" t="s">
        <v>316</v>
      </c>
      <c r="D98" t="s">
        <v>412</v>
      </c>
      <c r="E98" t="s">
        <v>471</v>
      </c>
      <c r="F98" t="s">
        <v>481</v>
      </c>
      <c r="G98">
        <v>25</v>
      </c>
      <c r="H98" t="s">
        <v>485</v>
      </c>
      <c r="I98" t="s">
        <v>492</v>
      </c>
      <c r="J98" t="s">
        <v>505</v>
      </c>
      <c r="K98" t="s">
        <v>518</v>
      </c>
      <c r="L98">
        <v>5</v>
      </c>
      <c r="M98">
        <v>56704.4</v>
      </c>
      <c r="N98">
        <v>0.08</v>
      </c>
      <c r="O98">
        <v>260840.24</v>
      </c>
      <c r="P98">
        <v>205539.35</v>
      </c>
      <c r="Q98">
        <v>55300.89</v>
      </c>
      <c r="R98" t="s">
        <v>527</v>
      </c>
      <c r="S98" t="s">
        <v>537</v>
      </c>
      <c r="T98" t="s">
        <v>540</v>
      </c>
      <c r="U98">
        <v>5</v>
      </c>
      <c r="V98">
        <v>2025</v>
      </c>
      <c r="W98" s="2" t="str">
        <f t="shared" si="3"/>
        <v>Aug</v>
      </c>
      <c r="X98">
        <f t="shared" si="4"/>
        <v>0.21201057781575419</v>
      </c>
      <c r="Y98" t="str">
        <f>UPPER(Table1[[#This Row],[CustomerName]])</f>
        <v>ANAYA SHAH</v>
      </c>
      <c r="Z98" t="str">
        <f t="shared" si="5"/>
        <v>Anaya</v>
      </c>
    </row>
    <row r="99" spans="1:26" x14ac:dyDescent="0.3">
      <c r="A99" t="s">
        <v>118</v>
      </c>
      <c r="B99" s="1">
        <v>45749</v>
      </c>
      <c r="C99" t="s">
        <v>277</v>
      </c>
      <c r="D99" t="s">
        <v>394</v>
      </c>
      <c r="E99" t="s">
        <v>453</v>
      </c>
      <c r="F99" t="s">
        <v>481</v>
      </c>
      <c r="G99">
        <v>18</v>
      </c>
      <c r="H99" t="s">
        <v>485</v>
      </c>
      <c r="I99" t="s">
        <v>496</v>
      </c>
      <c r="J99" t="s">
        <v>503</v>
      </c>
      <c r="K99" t="s">
        <v>521</v>
      </c>
      <c r="L99">
        <v>4</v>
      </c>
      <c r="M99">
        <v>8852.5400000000009</v>
      </c>
      <c r="N99">
        <v>0</v>
      </c>
      <c r="O99">
        <v>35410.160000000003</v>
      </c>
      <c r="P99">
        <v>25086.67</v>
      </c>
      <c r="Q99">
        <v>10323.49</v>
      </c>
      <c r="R99" t="s">
        <v>528</v>
      </c>
      <c r="S99" t="s">
        <v>532</v>
      </c>
      <c r="T99" t="s">
        <v>538</v>
      </c>
      <c r="U99">
        <v>5</v>
      </c>
      <c r="V99">
        <v>2025</v>
      </c>
      <c r="W99" s="2" t="str">
        <f t="shared" si="3"/>
        <v>Apr</v>
      </c>
      <c r="X99">
        <f t="shared" si="4"/>
        <v>0.2915403375754303</v>
      </c>
      <c r="Y99" t="str">
        <f>UPPER(Table1[[#This Row],[CustomerName]])</f>
        <v>HARSH SHAH</v>
      </c>
      <c r="Z99" t="str">
        <f t="shared" si="5"/>
        <v>Harsh</v>
      </c>
    </row>
    <row r="100" spans="1:26" x14ac:dyDescent="0.3">
      <c r="A100" t="s">
        <v>119</v>
      </c>
      <c r="B100" s="1">
        <v>45820</v>
      </c>
      <c r="C100" t="s">
        <v>334</v>
      </c>
      <c r="D100" t="s">
        <v>413</v>
      </c>
      <c r="E100" t="s">
        <v>472</v>
      </c>
      <c r="F100" t="s">
        <v>481</v>
      </c>
      <c r="G100">
        <v>56</v>
      </c>
      <c r="H100" t="s">
        <v>485</v>
      </c>
      <c r="I100" t="s">
        <v>492</v>
      </c>
      <c r="J100" t="s">
        <v>506</v>
      </c>
      <c r="K100" t="s">
        <v>524</v>
      </c>
      <c r="L100">
        <v>4</v>
      </c>
      <c r="M100">
        <v>547.64</v>
      </c>
      <c r="N100">
        <v>0.08</v>
      </c>
      <c r="O100">
        <v>2015.32</v>
      </c>
      <c r="P100">
        <v>1324.28</v>
      </c>
      <c r="Q100">
        <v>691.04</v>
      </c>
      <c r="R100" t="s">
        <v>529</v>
      </c>
      <c r="S100" t="s">
        <v>535</v>
      </c>
      <c r="T100" t="s">
        <v>538</v>
      </c>
      <c r="U100">
        <v>5</v>
      </c>
      <c r="V100">
        <v>2025</v>
      </c>
      <c r="W100" s="2" t="str">
        <f t="shared" si="3"/>
        <v>Jun</v>
      </c>
      <c r="X100">
        <f t="shared" si="4"/>
        <v>0.3428934362781097</v>
      </c>
      <c r="Y100" t="str">
        <f>UPPER(Table1[[#This Row],[CustomerName]])</f>
        <v>KRISH SHAH</v>
      </c>
      <c r="Z100" t="str">
        <f t="shared" si="5"/>
        <v>Krish</v>
      </c>
    </row>
    <row r="101" spans="1:26" x14ac:dyDescent="0.3">
      <c r="A101" t="s">
        <v>120</v>
      </c>
      <c r="B101" s="1">
        <v>45707</v>
      </c>
      <c r="C101" t="s">
        <v>335</v>
      </c>
      <c r="D101" t="s">
        <v>412</v>
      </c>
      <c r="E101" t="s">
        <v>471</v>
      </c>
      <c r="F101" t="s">
        <v>481</v>
      </c>
      <c r="G101">
        <v>25</v>
      </c>
      <c r="H101" t="s">
        <v>485</v>
      </c>
      <c r="I101" t="s">
        <v>492</v>
      </c>
      <c r="J101" t="s">
        <v>502</v>
      </c>
      <c r="K101" t="s">
        <v>514</v>
      </c>
      <c r="L101">
        <v>4</v>
      </c>
      <c r="M101">
        <v>1387.81</v>
      </c>
      <c r="N101">
        <v>0.08</v>
      </c>
      <c r="O101">
        <v>5107.1400000000003</v>
      </c>
      <c r="P101">
        <v>4154.67</v>
      </c>
      <c r="Q101">
        <v>952.47</v>
      </c>
      <c r="R101" t="s">
        <v>527</v>
      </c>
      <c r="S101" t="s">
        <v>537</v>
      </c>
      <c r="T101" t="s">
        <v>538</v>
      </c>
      <c r="U101">
        <v>3</v>
      </c>
      <c r="V101">
        <v>2025</v>
      </c>
      <c r="W101" s="2" t="str">
        <f t="shared" si="3"/>
        <v>Feb</v>
      </c>
      <c r="X101">
        <f t="shared" si="4"/>
        <v>0.18649772671201495</v>
      </c>
      <c r="Y101" t="str">
        <f>UPPER(Table1[[#This Row],[CustomerName]])</f>
        <v>ANAYA SHAH</v>
      </c>
      <c r="Z101" t="str">
        <f t="shared" si="5"/>
        <v>Anaya</v>
      </c>
    </row>
    <row r="102" spans="1:26" x14ac:dyDescent="0.3">
      <c r="A102" t="s">
        <v>121</v>
      </c>
      <c r="B102" s="1">
        <v>45930</v>
      </c>
      <c r="C102" t="s">
        <v>301</v>
      </c>
      <c r="D102" t="s">
        <v>414</v>
      </c>
      <c r="E102" t="s">
        <v>473</v>
      </c>
      <c r="F102" t="s">
        <v>481</v>
      </c>
      <c r="G102">
        <v>42</v>
      </c>
      <c r="H102" t="s">
        <v>485</v>
      </c>
      <c r="I102" t="s">
        <v>492</v>
      </c>
      <c r="J102" t="s">
        <v>503</v>
      </c>
      <c r="K102" t="s">
        <v>512</v>
      </c>
      <c r="L102">
        <v>1</v>
      </c>
      <c r="M102">
        <v>6147.26</v>
      </c>
      <c r="N102">
        <v>0.15</v>
      </c>
      <c r="O102">
        <v>5225.17</v>
      </c>
      <c r="P102">
        <v>3847.79</v>
      </c>
      <c r="Q102">
        <v>1377.38</v>
      </c>
      <c r="R102" t="s">
        <v>530</v>
      </c>
      <c r="S102" t="s">
        <v>533</v>
      </c>
      <c r="T102" t="s">
        <v>538</v>
      </c>
      <c r="U102">
        <v>4</v>
      </c>
      <c r="V102">
        <v>2025</v>
      </c>
      <c r="W102" s="2" t="str">
        <f t="shared" si="3"/>
        <v>Sep</v>
      </c>
      <c r="X102">
        <f t="shared" si="4"/>
        <v>0.26360482051301681</v>
      </c>
      <c r="Y102" t="str">
        <f>UPPER(Table1[[#This Row],[CustomerName]])</f>
        <v>RAHUL PATEL</v>
      </c>
      <c r="Z102" t="str">
        <f t="shared" si="5"/>
        <v>Rahul</v>
      </c>
    </row>
    <row r="103" spans="1:26" x14ac:dyDescent="0.3">
      <c r="A103" t="s">
        <v>122</v>
      </c>
      <c r="B103" s="1">
        <v>45866</v>
      </c>
      <c r="C103" t="s">
        <v>288</v>
      </c>
      <c r="D103" t="s">
        <v>387</v>
      </c>
      <c r="E103" t="s">
        <v>446</v>
      </c>
      <c r="F103" t="s">
        <v>482</v>
      </c>
      <c r="G103">
        <v>19</v>
      </c>
      <c r="H103" t="s">
        <v>485</v>
      </c>
      <c r="I103" t="s">
        <v>492</v>
      </c>
      <c r="J103" t="s">
        <v>505</v>
      </c>
      <c r="K103" t="s">
        <v>522</v>
      </c>
      <c r="L103">
        <v>2</v>
      </c>
      <c r="M103">
        <v>4983.95</v>
      </c>
      <c r="N103">
        <v>0.15</v>
      </c>
      <c r="O103">
        <v>8472.7199999999993</v>
      </c>
      <c r="P103">
        <v>5747.32</v>
      </c>
      <c r="Q103">
        <v>2725.4</v>
      </c>
      <c r="R103" t="s">
        <v>530</v>
      </c>
      <c r="S103" t="s">
        <v>532</v>
      </c>
      <c r="T103" t="s">
        <v>539</v>
      </c>
      <c r="U103">
        <v>5</v>
      </c>
      <c r="V103">
        <v>2025</v>
      </c>
      <c r="W103" s="2" t="str">
        <f t="shared" si="3"/>
        <v>Jul</v>
      </c>
      <c r="X103">
        <f t="shared" si="4"/>
        <v>0.32166765808382669</v>
      </c>
      <c r="Y103" t="str">
        <f>UPPER(Table1[[#This Row],[CustomerName]])</f>
        <v>ARYAN PATEL</v>
      </c>
      <c r="Z103" t="str">
        <f t="shared" si="5"/>
        <v>Aryan</v>
      </c>
    </row>
    <row r="104" spans="1:26" x14ac:dyDescent="0.3">
      <c r="A104" t="s">
        <v>123</v>
      </c>
      <c r="B104" s="1">
        <v>45924</v>
      </c>
      <c r="C104" t="s">
        <v>312</v>
      </c>
      <c r="D104" t="s">
        <v>396</v>
      </c>
      <c r="E104" t="s">
        <v>455</v>
      </c>
      <c r="F104" t="s">
        <v>482</v>
      </c>
      <c r="G104">
        <v>59</v>
      </c>
      <c r="H104" t="s">
        <v>486</v>
      </c>
      <c r="I104" t="s">
        <v>500</v>
      </c>
      <c r="J104" t="s">
        <v>505</v>
      </c>
      <c r="K104" t="s">
        <v>518</v>
      </c>
      <c r="L104">
        <v>4</v>
      </c>
      <c r="M104">
        <v>59282.63</v>
      </c>
      <c r="N104">
        <v>0.15</v>
      </c>
      <c r="O104">
        <v>201560.94</v>
      </c>
      <c r="P104">
        <v>149886.99</v>
      </c>
      <c r="Q104">
        <v>51673.95</v>
      </c>
      <c r="R104" t="s">
        <v>527</v>
      </c>
      <c r="S104" t="s">
        <v>532</v>
      </c>
      <c r="T104" t="s">
        <v>538</v>
      </c>
      <c r="U104">
        <v>3</v>
      </c>
      <c r="V104">
        <v>2025</v>
      </c>
      <c r="W104" s="2" t="str">
        <f t="shared" si="3"/>
        <v>Sep</v>
      </c>
      <c r="X104">
        <f t="shared" si="4"/>
        <v>0.25636886789672642</v>
      </c>
      <c r="Y104" t="str">
        <f>UPPER(Table1[[#This Row],[CustomerName]])</f>
        <v>DHRUV PATEL</v>
      </c>
      <c r="Z104" t="str">
        <f t="shared" si="5"/>
        <v>Dhruv</v>
      </c>
    </row>
    <row r="105" spans="1:26" x14ac:dyDescent="0.3">
      <c r="A105" t="s">
        <v>124</v>
      </c>
      <c r="B105" s="1">
        <v>46010</v>
      </c>
      <c r="C105" t="s">
        <v>286</v>
      </c>
      <c r="D105" t="s">
        <v>398</v>
      </c>
      <c r="E105" t="s">
        <v>457</v>
      </c>
      <c r="F105" t="s">
        <v>482</v>
      </c>
      <c r="G105">
        <v>23</v>
      </c>
      <c r="H105" t="s">
        <v>484</v>
      </c>
      <c r="I105" t="s">
        <v>488</v>
      </c>
      <c r="J105" t="s">
        <v>505</v>
      </c>
      <c r="K105" t="s">
        <v>518</v>
      </c>
      <c r="L105">
        <v>1</v>
      </c>
      <c r="M105">
        <v>57855.72</v>
      </c>
      <c r="N105">
        <v>0.02</v>
      </c>
      <c r="O105">
        <v>56698.61</v>
      </c>
      <c r="P105">
        <v>39654.14</v>
      </c>
      <c r="Q105">
        <v>17044.47</v>
      </c>
      <c r="R105" t="s">
        <v>531</v>
      </c>
      <c r="S105" t="s">
        <v>537</v>
      </c>
      <c r="T105" t="s">
        <v>538</v>
      </c>
      <c r="U105">
        <v>5</v>
      </c>
      <c r="V105">
        <v>2025</v>
      </c>
      <c r="W105" s="2" t="str">
        <f t="shared" si="3"/>
        <v>Dec</v>
      </c>
      <c r="X105">
        <f t="shared" si="4"/>
        <v>0.30061530608951437</v>
      </c>
      <c r="Y105" t="str">
        <f>UPPER(Table1[[#This Row],[CustomerName]])</f>
        <v>SHREYA SHAH</v>
      </c>
      <c r="Z105" t="str">
        <f t="shared" si="5"/>
        <v>Shreya</v>
      </c>
    </row>
    <row r="106" spans="1:26" x14ac:dyDescent="0.3">
      <c r="A106" t="s">
        <v>125</v>
      </c>
      <c r="B106" s="1">
        <v>45800</v>
      </c>
      <c r="C106" t="s">
        <v>336</v>
      </c>
      <c r="D106" t="s">
        <v>386</v>
      </c>
      <c r="E106" t="s">
        <v>445</v>
      </c>
      <c r="F106" t="s">
        <v>482</v>
      </c>
      <c r="G106">
        <v>29</v>
      </c>
      <c r="H106" t="s">
        <v>485</v>
      </c>
      <c r="I106" t="s">
        <v>492</v>
      </c>
      <c r="J106" t="s">
        <v>505</v>
      </c>
      <c r="K106" t="s">
        <v>518</v>
      </c>
      <c r="L106">
        <v>3</v>
      </c>
      <c r="M106">
        <v>51693.14</v>
      </c>
      <c r="N106">
        <v>0.05</v>
      </c>
      <c r="O106">
        <v>147325.45000000001</v>
      </c>
      <c r="P106">
        <v>92272.47</v>
      </c>
      <c r="Q106">
        <v>55052.98</v>
      </c>
      <c r="R106" t="s">
        <v>529</v>
      </c>
      <c r="S106" t="s">
        <v>532</v>
      </c>
      <c r="T106" t="s">
        <v>538</v>
      </c>
      <c r="U106">
        <v>5</v>
      </c>
      <c r="V106">
        <v>2025</v>
      </c>
      <c r="W106" s="2" t="str">
        <f t="shared" si="3"/>
        <v>May</v>
      </c>
      <c r="X106">
        <f t="shared" si="4"/>
        <v>0.3736827547446826</v>
      </c>
      <c r="Y106" t="str">
        <f>UPPER(Table1[[#This Row],[CustomerName]])</f>
        <v>PRIYA SHAH</v>
      </c>
      <c r="Z106" t="str">
        <f t="shared" si="5"/>
        <v>Priya</v>
      </c>
    </row>
    <row r="107" spans="1:26" x14ac:dyDescent="0.3">
      <c r="A107" t="s">
        <v>126</v>
      </c>
      <c r="B107" s="1">
        <v>46005</v>
      </c>
      <c r="C107" t="s">
        <v>282</v>
      </c>
      <c r="D107" t="s">
        <v>386</v>
      </c>
      <c r="E107" t="s">
        <v>445</v>
      </c>
      <c r="F107" t="s">
        <v>482</v>
      </c>
      <c r="G107">
        <v>29</v>
      </c>
      <c r="H107" t="s">
        <v>485</v>
      </c>
      <c r="I107" t="s">
        <v>492</v>
      </c>
      <c r="J107" t="s">
        <v>502</v>
      </c>
      <c r="K107" t="s">
        <v>507</v>
      </c>
      <c r="L107">
        <v>3</v>
      </c>
      <c r="M107">
        <v>2976.88</v>
      </c>
      <c r="N107">
        <v>0.08</v>
      </c>
      <c r="O107">
        <v>8216.19</v>
      </c>
      <c r="P107">
        <v>6075.83</v>
      </c>
      <c r="Q107">
        <v>2140.36</v>
      </c>
      <c r="R107" t="s">
        <v>531</v>
      </c>
      <c r="S107" t="s">
        <v>534</v>
      </c>
      <c r="T107" t="s">
        <v>540</v>
      </c>
      <c r="U107">
        <v>4</v>
      </c>
      <c r="V107">
        <v>2025</v>
      </c>
      <c r="W107" s="2" t="str">
        <f t="shared" si="3"/>
        <v>Dec</v>
      </c>
      <c r="X107">
        <f t="shared" si="4"/>
        <v>0.26050517332242801</v>
      </c>
      <c r="Y107" t="str">
        <f>UPPER(Table1[[#This Row],[CustomerName]])</f>
        <v>PRIYA SHAH</v>
      </c>
      <c r="Z107" t="str">
        <f t="shared" si="5"/>
        <v>Priya</v>
      </c>
    </row>
    <row r="108" spans="1:26" x14ac:dyDescent="0.3">
      <c r="A108" t="s">
        <v>127</v>
      </c>
      <c r="B108" s="1">
        <v>45669</v>
      </c>
      <c r="C108" t="s">
        <v>337</v>
      </c>
      <c r="D108" t="s">
        <v>397</v>
      </c>
      <c r="E108" t="s">
        <v>456</v>
      </c>
      <c r="F108" t="s">
        <v>482</v>
      </c>
      <c r="G108">
        <v>24</v>
      </c>
      <c r="H108" t="s">
        <v>485</v>
      </c>
      <c r="I108" t="s">
        <v>489</v>
      </c>
      <c r="J108" t="s">
        <v>505</v>
      </c>
      <c r="K108" t="s">
        <v>518</v>
      </c>
      <c r="L108">
        <v>3</v>
      </c>
      <c r="M108">
        <v>52529.08</v>
      </c>
      <c r="N108">
        <v>0.15</v>
      </c>
      <c r="O108">
        <v>133949.15</v>
      </c>
      <c r="P108">
        <v>92073.85</v>
      </c>
      <c r="Q108">
        <v>41875.300000000003</v>
      </c>
      <c r="R108" t="s">
        <v>530</v>
      </c>
      <c r="S108" t="s">
        <v>535</v>
      </c>
      <c r="T108" t="s">
        <v>538</v>
      </c>
      <c r="U108">
        <v>4</v>
      </c>
      <c r="V108">
        <v>2025</v>
      </c>
      <c r="W108" s="2" t="str">
        <f t="shared" si="3"/>
        <v>Jan</v>
      </c>
      <c r="X108">
        <f t="shared" si="4"/>
        <v>0.31262087142770228</v>
      </c>
      <c r="Y108" t="str">
        <f>UPPER(Table1[[#This Row],[CustomerName]])</f>
        <v>HARSH PATEL</v>
      </c>
      <c r="Z108" t="str">
        <f t="shared" si="5"/>
        <v>Harsh</v>
      </c>
    </row>
    <row r="109" spans="1:26" x14ac:dyDescent="0.3">
      <c r="A109" t="s">
        <v>128</v>
      </c>
      <c r="B109" s="1">
        <v>45868</v>
      </c>
      <c r="C109" t="s">
        <v>309</v>
      </c>
      <c r="D109" t="s">
        <v>364</v>
      </c>
      <c r="E109" t="s">
        <v>423</v>
      </c>
      <c r="F109" t="s">
        <v>482</v>
      </c>
      <c r="G109">
        <v>35</v>
      </c>
      <c r="H109" t="s">
        <v>484</v>
      </c>
      <c r="I109" t="s">
        <v>488</v>
      </c>
      <c r="J109" t="s">
        <v>504</v>
      </c>
      <c r="K109" t="s">
        <v>509</v>
      </c>
      <c r="L109">
        <v>3</v>
      </c>
      <c r="M109">
        <v>460.82</v>
      </c>
      <c r="N109">
        <v>0.02</v>
      </c>
      <c r="O109">
        <v>1354.81</v>
      </c>
      <c r="P109">
        <v>949.25</v>
      </c>
      <c r="Q109">
        <v>405.56</v>
      </c>
      <c r="R109" t="s">
        <v>530</v>
      </c>
      <c r="S109" t="s">
        <v>535</v>
      </c>
      <c r="T109" t="s">
        <v>538</v>
      </c>
      <c r="U109">
        <v>4</v>
      </c>
      <c r="V109">
        <v>2025</v>
      </c>
      <c r="W109" s="2" t="str">
        <f t="shared" si="3"/>
        <v>Jul</v>
      </c>
      <c r="X109">
        <f t="shared" si="4"/>
        <v>0.29934824809382865</v>
      </c>
      <c r="Y109" t="str">
        <f>UPPER(Table1[[#This Row],[CustomerName]])</f>
        <v>ISHA PATEL</v>
      </c>
      <c r="Z109" t="str">
        <f t="shared" si="5"/>
        <v>Isha</v>
      </c>
    </row>
    <row r="110" spans="1:26" x14ac:dyDescent="0.3">
      <c r="A110" t="s">
        <v>129</v>
      </c>
      <c r="B110" s="1">
        <v>45989</v>
      </c>
      <c r="C110" t="s">
        <v>285</v>
      </c>
      <c r="D110" t="s">
        <v>414</v>
      </c>
      <c r="E110" t="s">
        <v>473</v>
      </c>
      <c r="F110" t="s">
        <v>481</v>
      </c>
      <c r="G110">
        <v>42</v>
      </c>
      <c r="H110" t="s">
        <v>485</v>
      </c>
      <c r="I110" t="s">
        <v>492</v>
      </c>
      <c r="J110" t="s">
        <v>504</v>
      </c>
      <c r="K110" t="s">
        <v>517</v>
      </c>
      <c r="L110">
        <v>5</v>
      </c>
      <c r="M110">
        <v>316.62</v>
      </c>
      <c r="N110">
        <v>0.1</v>
      </c>
      <c r="O110">
        <v>1424.79</v>
      </c>
      <c r="P110">
        <v>981.95</v>
      </c>
      <c r="Q110">
        <v>442.84</v>
      </c>
      <c r="R110" t="s">
        <v>527</v>
      </c>
      <c r="S110" t="s">
        <v>537</v>
      </c>
      <c r="T110" t="s">
        <v>539</v>
      </c>
      <c r="U110">
        <v>3</v>
      </c>
      <c r="V110">
        <v>2025</v>
      </c>
      <c r="W110" s="2" t="str">
        <f t="shared" si="3"/>
        <v>Nov</v>
      </c>
      <c r="X110">
        <f t="shared" si="4"/>
        <v>0.31081071596515975</v>
      </c>
      <c r="Y110" t="str">
        <f>UPPER(Table1[[#This Row],[CustomerName]])</f>
        <v>RAHUL PATEL</v>
      </c>
      <c r="Z110" t="str">
        <f t="shared" si="5"/>
        <v>Rahul</v>
      </c>
    </row>
    <row r="111" spans="1:26" x14ac:dyDescent="0.3">
      <c r="A111" t="s">
        <v>130</v>
      </c>
      <c r="B111" s="1">
        <v>45753</v>
      </c>
      <c r="C111" t="s">
        <v>289</v>
      </c>
      <c r="D111" t="s">
        <v>365</v>
      </c>
      <c r="E111" t="s">
        <v>424</v>
      </c>
      <c r="F111" t="s">
        <v>481</v>
      </c>
      <c r="G111">
        <v>41</v>
      </c>
      <c r="H111" t="s">
        <v>485</v>
      </c>
      <c r="I111" t="s">
        <v>489</v>
      </c>
      <c r="J111" t="s">
        <v>505</v>
      </c>
      <c r="K111" t="s">
        <v>510</v>
      </c>
      <c r="L111">
        <v>4</v>
      </c>
      <c r="M111">
        <v>31792.43</v>
      </c>
      <c r="N111">
        <v>0.02</v>
      </c>
      <c r="O111">
        <v>124626.33</v>
      </c>
      <c r="P111">
        <v>97032.97</v>
      </c>
      <c r="Q111">
        <v>27593.360000000001</v>
      </c>
      <c r="R111" t="s">
        <v>531</v>
      </c>
      <c r="S111" t="s">
        <v>534</v>
      </c>
      <c r="T111" t="s">
        <v>538</v>
      </c>
      <c r="U111">
        <v>5</v>
      </c>
      <c r="V111">
        <v>2025</v>
      </c>
      <c r="W111" s="2" t="str">
        <f t="shared" si="3"/>
        <v>Apr</v>
      </c>
      <c r="X111">
        <f t="shared" si="4"/>
        <v>0.22140875046228192</v>
      </c>
      <c r="Y111" t="str">
        <f>UPPER(Table1[[#This Row],[CustomerName]])</f>
        <v>RIYA SHAH</v>
      </c>
      <c r="Z111" t="str">
        <f t="shared" si="5"/>
        <v>Riya</v>
      </c>
    </row>
    <row r="112" spans="1:26" x14ac:dyDescent="0.3">
      <c r="A112" t="s">
        <v>131</v>
      </c>
      <c r="B112" s="1">
        <v>45788</v>
      </c>
      <c r="C112" t="s">
        <v>298</v>
      </c>
      <c r="D112" t="s">
        <v>368</v>
      </c>
      <c r="E112" t="s">
        <v>427</v>
      </c>
      <c r="F112" t="s">
        <v>482</v>
      </c>
      <c r="G112">
        <v>31</v>
      </c>
      <c r="H112" t="s">
        <v>484</v>
      </c>
      <c r="I112" t="s">
        <v>491</v>
      </c>
      <c r="J112" t="s">
        <v>504</v>
      </c>
      <c r="K112" t="s">
        <v>509</v>
      </c>
      <c r="L112">
        <v>3</v>
      </c>
      <c r="M112">
        <v>469.87</v>
      </c>
      <c r="N112">
        <v>0.08</v>
      </c>
      <c r="O112">
        <v>1296.8399999999999</v>
      </c>
      <c r="P112">
        <v>1039.81</v>
      </c>
      <c r="Q112">
        <v>257.02999999999997</v>
      </c>
      <c r="R112" t="s">
        <v>531</v>
      </c>
      <c r="S112" t="s">
        <v>536</v>
      </c>
      <c r="T112" t="s">
        <v>538</v>
      </c>
      <c r="U112">
        <v>4</v>
      </c>
      <c r="V112">
        <v>2025</v>
      </c>
      <c r="W112" s="2" t="str">
        <f t="shared" si="3"/>
        <v>May</v>
      </c>
      <c r="X112">
        <f t="shared" si="4"/>
        <v>0.19819715616421454</v>
      </c>
      <c r="Y112" t="str">
        <f>UPPER(Table1[[#This Row],[CustomerName]])</f>
        <v>KABIR PATEL</v>
      </c>
      <c r="Z112" t="str">
        <f t="shared" si="5"/>
        <v>Kabir</v>
      </c>
    </row>
    <row r="113" spans="1:26" x14ac:dyDescent="0.3">
      <c r="A113" t="s">
        <v>132</v>
      </c>
      <c r="B113" s="1">
        <v>45982</v>
      </c>
      <c r="C113" t="s">
        <v>309</v>
      </c>
      <c r="D113" t="s">
        <v>379</v>
      </c>
      <c r="E113" t="s">
        <v>438</v>
      </c>
      <c r="F113" t="s">
        <v>482</v>
      </c>
      <c r="G113">
        <v>49</v>
      </c>
      <c r="H113" t="s">
        <v>486</v>
      </c>
      <c r="I113" t="s">
        <v>497</v>
      </c>
      <c r="J113" t="s">
        <v>503</v>
      </c>
      <c r="K113" t="s">
        <v>512</v>
      </c>
      <c r="L113">
        <v>4</v>
      </c>
      <c r="M113">
        <v>6401.22</v>
      </c>
      <c r="N113">
        <v>0.15</v>
      </c>
      <c r="O113">
        <v>21764.15</v>
      </c>
      <c r="P113">
        <v>15734.69</v>
      </c>
      <c r="Q113">
        <v>6029.46</v>
      </c>
      <c r="R113" t="s">
        <v>529</v>
      </c>
      <c r="S113" t="s">
        <v>536</v>
      </c>
      <c r="T113" t="s">
        <v>538</v>
      </c>
      <c r="U113">
        <v>4</v>
      </c>
      <c r="V113">
        <v>2025</v>
      </c>
      <c r="W113" s="2" t="str">
        <f t="shared" si="3"/>
        <v>Nov</v>
      </c>
      <c r="X113">
        <f t="shared" si="4"/>
        <v>0.27703631890057728</v>
      </c>
      <c r="Y113" t="str">
        <f>UPPER(Table1[[#This Row],[CustomerName]])</f>
        <v>RAHUL SHAH</v>
      </c>
      <c r="Z113" t="str">
        <f t="shared" si="5"/>
        <v>Rahul</v>
      </c>
    </row>
    <row r="114" spans="1:26" x14ac:dyDescent="0.3">
      <c r="A114" t="s">
        <v>133</v>
      </c>
      <c r="B114" s="1">
        <v>46002</v>
      </c>
      <c r="C114" t="s">
        <v>289</v>
      </c>
      <c r="D114" t="s">
        <v>406</v>
      </c>
      <c r="E114" t="s">
        <v>465</v>
      </c>
      <c r="F114" t="s">
        <v>481</v>
      </c>
      <c r="G114">
        <v>33</v>
      </c>
      <c r="H114" t="s">
        <v>486</v>
      </c>
      <c r="I114" t="s">
        <v>501</v>
      </c>
      <c r="J114" t="s">
        <v>505</v>
      </c>
      <c r="K114" t="s">
        <v>518</v>
      </c>
      <c r="L114">
        <v>5</v>
      </c>
      <c r="M114">
        <v>53461.67</v>
      </c>
      <c r="N114">
        <v>0.08</v>
      </c>
      <c r="O114">
        <v>245923.68</v>
      </c>
      <c r="P114">
        <v>158909.67000000001</v>
      </c>
      <c r="Q114">
        <v>87014.01</v>
      </c>
      <c r="R114" t="s">
        <v>530</v>
      </c>
      <c r="S114" t="s">
        <v>534</v>
      </c>
      <c r="T114" t="s">
        <v>539</v>
      </c>
      <c r="U114">
        <v>4</v>
      </c>
      <c r="V114">
        <v>2025</v>
      </c>
      <c r="W114" s="2" t="str">
        <f t="shared" si="3"/>
        <v>Dec</v>
      </c>
      <c r="X114">
        <f t="shared" si="4"/>
        <v>0.35382525993430158</v>
      </c>
      <c r="Y114" t="str">
        <f>UPPER(Table1[[#This Row],[CustomerName]])</f>
        <v>AVNI SHAH</v>
      </c>
      <c r="Z114" t="str">
        <f t="shared" si="5"/>
        <v>Avni</v>
      </c>
    </row>
    <row r="115" spans="1:26" x14ac:dyDescent="0.3">
      <c r="A115" t="s">
        <v>134</v>
      </c>
      <c r="B115" s="1">
        <v>45750</v>
      </c>
      <c r="C115" t="s">
        <v>292</v>
      </c>
      <c r="D115" t="s">
        <v>378</v>
      </c>
      <c r="E115" t="s">
        <v>437</v>
      </c>
      <c r="F115" t="s">
        <v>482</v>
      </c>
      <c r="G115">
        <v>57</v>
      </c>
      <c r="H115" t="s">
        <v>485</v>
      </c>
      <c r="I115" t="s">
        <v>492</v>
      </c>
      <c r="J115" t="s">
        <v>504</v>
      </c>
      <c r="K115" t="s">
        <v>509</v>
      </c>
      <c r="L115">
        <v>5</v>
      </c>
      <c r="M115">
        <v>431.91</v>
      </c>
      <c r="N115">
        <v>0.05</v>
      </c>
      <c r="O115">
        <v>2051.5700000000002</v>
      </c>
      <c r="P115">
        <v>1661.19</v>
      </c>
      <c r="Q115">
        <v>390.38</v>
      </c>
      <c r="R115" t="s">
        <v>529</v>
      </c>
      <c r="S115" t="s">
        <v>537</v>
      </c>
      <c r="T115" t="s">
        <v>540</v>
      </c>
      <c r="U115">
        <v>3</v>
      </c>
      <c r="V115">
        <v>2025</v>
      </c>
      <c r="W115" s="2" t="str">
        <f t="shared" si="3"/>
        <v>Apr</v>
      </c>
      <c r="X115">
        <f t="shared" si="4"/>
        <v>0.19028353894822012</v>
      </c>
      <c r="Y115" t="str">
        <f>UPPER(Table1[[#This Row],[CustomerName]])</f>
        <v>ANAYA PATEL</v>
      </c>
      <c r="Z115" t="str">
        <f t="shared" si="5"/>
        <v>Anaya</v>
      </c>
    </row>
    <row r="116" spans="1:26" x14ac:dyDescent="0.3">
      <c r="A116" t="s">
        <v>135</v>
      </c>
      <c r="B116" s="1">
        <v>45832</v>
      </c>
      <c r="C116" t="s">
        <v>319</v>
      </c>
      <c r="D116" t="s">
        <v>379</v>
      </c>
      <c r="E116" t="s">
        <v>438</v>
      </c>
      <c r="F116" t="s">
        <v>482</v>
      </c>
      <c r="G116">
        <v>49</v>
      </c>
      <c r="H116" t="s">
        <v>486</v>
      </c>
      <c r="I116" t="s">
        <v>497</v>
      </c>
      <c r="J116" t="s">
        <v>503</v>
      </c>
      <c r="K116" t="s">
        <v>508</v>
      </c>
      <c r="L116">
        <v>4</v>
      </c>
      <c r="M116">
        <v>3469.97</v>
      </c>
      <c r="N116">
        <v>0.15</v>
      </c>
      <c r="O116">
        <v>11797.9</v>
      </c>
      <c r="P116">
        <v>7800.4</v>
      </c>
      <c r="Q116">
        <v>3997.5</v>
      </c>
      <c r="R116" t="s">
        <v>530</v>
      </c>
      <c r="S116" t="s">
        <v>536</v>
      </c>
      <c r="T116" t="s">
        <v>540</v>
      </c>
      <c r="U116">
        <v>3</v>
      </c>
      <c r="V116">
        <v>2025</v>
      </c>
      <c r="W116" s="2" t="str">
        <f t="shared" si="3"/>
        <v>Jun</v>
      </c>
      <c r="X116">
        <f t="shared" si="4"/>
        <v>0.33883148695954368</v>
      </c>
      <c r="Y116" t="str">
        <f>UPPER(Table1[[#This Row],[CustomerName]])</f>
        <v>RAHUL SHAH</v>
      </c>
      <c r="Z116" t="str">
        <f t="shared" si="5"/>
        <v>Rahul</v>
      </c>
    </row>
    <row r="117" spans="1:26" x14ac:dyDescent="0.3">
      <c r="A117" t="s">
        <v>136</v>
      </c>
      <c r="B117" s="1">
        <v>45677</v>
      </c>
      <c r="C117" t="s">
        <v>338</v>
      </c>
      <c r="D117" t="s">
        <v>379</v>
      </c>
      <c r="E117" t="s">
        <v>438</v>
      </c>
      <c r="F117" t="s">
        <v>482</v>
      </c>
      <c r="G117">
        <v>49</v>
      </c>
      <c r="H117" t="s">
        <v>486</v>
      </c>
      <c r="I117" t="s">
        <v>497</v>
      </c>
      <c r="J117" t="s">
        <v>502</v>
      </c>
      <c r="K117" t="s">
        <v>507</v>
      </c>
      <c r="L117">
        <v>5</v>
      </c>
      <c r="M117">
        <v>2994.38</v>
      </c>
      <c r="N117">
        <v>0.1</v>
      </c>
      <c r="O117">
        <v>13474.71</v>
      </c>
      <c r="P117">
        <v>8632.73</v>
      </c>
      <c r="Q117">
        <v>4841.9799999999996</v>
      </c>
      <c r="R117" t="s">
        <v>528</v>
      </c>
      <c r="S117" t="s">
        <v>537</v>
      </c>
      <c r="T117" t="s">
        <v>538</v>
      </c>
      <c r="U117">
        <v>4</v>
      </c>
      <c r="V117">
        <v>2025</v>
      </c>
      <c r="W117" s="2" t="str">
        <f t="shared" si="3"/>
        <v>Jan</v>
      </c>
      <c r="X117">
        <f t="shared" si="4"/>
        <v>0.35933834568610379</v>
      </c>
      <c r="Y117" t="str">
        <f>UPPER(Table1[[#This Row],[CustomerName]])</f>
        <v>RAHUL SHAH</v>
      </c>
      <c r="Z117" t="str">
        <f t="shared" si="5"/>
        <v>Rahul</v>
      </c>
    </row>
    <row r="118" spans="1:26" x14ac:dyDescent="0.3">
      <c r="A118" t="s">
        <v>137</v>
      </c>
      <c r="B118" s="1">
        <v>45873</v>
      </c>
      <c r="C118" t="s">
        <v>315</v>
      </c>
      <c r="D118" t="s">
        <v>386</v>
      </c>
      <c r="E118" t="s">
        <v>445</v>
      </c>
      <c r="F118" t="s">
        <v>482</v>
      </c>
      <c r="G118">
        <v>29</v>
      </c>
      <c r="H118" t="s">
        <v>485</v>
      </c>
      <c r="I118" t="s">
        <v>492</v>
      </c>
      <c r="J118" t="s">
        <v>505</v>
      </c>
      <c r="K118" t="s">
        <v>518</v>
      </c>
      <c r="L118">
        <v>2</v>
      </c>
      <c r="M118">
        <v>59163.26</v>
      </c>
      <c r="N118">
        <v>0.05</v>
      </c>
      <c r="O118">
        <v>112410.19</v>
      </c>
      <c r="P118">
        <v>80684.59</v>
      </c>
      <c r="Q118">
        <v>31725.599999999999</v>
      </c>
      <c r="R118" t="s">
        <v>527</v>
      </c>
      <c r="S118" t="s">
        <v>537</v>
      </c>
      <c r="T118" t="s">
        <v>540</v>
      </c>
      <c r="U118">
        <v>3</v>
      </c>
      <c r="V118">
        <v>2025</v>
      </c>
      <c r="W118" s="2" t="str">
        <f t="shared" si="3"/>
        <v>Aug</v>
      </c>
      <c r="X118">
        <f t="shared" si="4"/>
        <v>0.28223064119009139</v>
      </c>
      <c r="Y118" t="str">
        <f>UPPER(Table1[[#This Row],[CustomerName]])</f>
        <v>PRIYA SHAH</v>
      </c>
      <c r="Z118" t="str">
        <f t="shared" si="5"/>
        <v>Priya</v>
      </c>
    </row>
    <row r="119" spans="1:26" x14ac:dyDescent="0.3">
      <c r="A119" t="s">
        <v>138</v>
      </c>
      <c r="B119" s="1">
        <v>45965</v>
      </c>
      <c r="C119" t="s">
        <v>336</v>
      </c>
      <c r="D119" t="s">
        <v>391</v>
      </c>
      <c r="E119" t="s">
        <v>450</v>
      </c>
      <c r="F119" t="s">
        <v>481</v>
      </c>
      <c r="G119">
        <v>30</v>
      </c>
      <c r="H119" t="s">
        <v>486</v>
      </c>
      <c r="I119" t="s">
        <v>497</v>
      </c>
      <c r="J119" t="s">
        <v>506</v>
      </c>
      <c r="K119" t="s">
        <v>526</v>
      </c>
      <c r="L119">
        <v>2</v>
      </c>
      <c r="M119">
        <v>1710.24</v>
      </c>
      <c r="N119">
        <v>0.1</v>
      </c>
      <c r="O119">
        <v>3078.43</v>
      </c>
      <c r="P119">
        <v>2181.84</v>
      </c>
      <c r="Q119">
        <v>896.59</v>
      </c>
      <c r="R119" t="s">
        <v>530</v>
      </c>
      <c r="S119" t="s">
        <v>537</v>
      </c>
      <c r="T119" t="s">
        <v>540</v>
      </c>
      <c r="U119">
        <v>5</v>
      </c>
      <c r="V119">
        <v>2025</v>
      </c>
      <c r="W119" s="2" t="str">
        <f t="shared" si="3"/>
        <v>Nov</v>
      </c>
      <c r="X119">
        <f t="shared" si="4"/>
        <v>0.29124911074801119</v>
      </c>
      <c r="Y119" t="str">
        <f>UPPER(Table1[[#This Row],[CustomerName]])</f>
        <v>MANAV SHAH</v>
      </c>
      <c r="Z119" t="str">
        <f t="shared" si="5"/>
        <v>Manav</v>
      </c>
    </row>
    <row r="120" spans="1:26" x14ac:dyDescent="0.3">
      <c r="A120" t="s">
        <v>139</v>
      </c>
      <c r="B120" s="1">
        <v>45875</v>
      </c>
      <c r="C120" t="s">
        <v>322</v>
      </c>
      <c r="D120" t="s">
        <v>407</v>
      </c>
      <c r="E120" t="s">
        <v>466</v>
      </c>
      <c r="F120" t="s">
        <v>482</v>
      </c>
      <c r="G120">
        <v>23</v>
      </c>
      <c r="H120" t="s">
        <v>486</v>
      </c>
      <c r="I120" t="s">
        <v>501</v>
      </c>
      <c r="J120" t="s">
        <v>505</v>
      </c>
      <c r="K120" t="s">
        <v>510</v>
      </c>
      <c r="L120">
        <v>1</v>
      </c>
      <c r="M120">
        <v>31588.21</v>
      </c>
      <c r="N120">
        <v>0</v>
      </c>
      <c r="O120">
        <v>31588.21</v>
      </c>
      <c r="P120">
        <v>19776.66</v>
      </c>
      <c r="Q120">
        <v>11811.55</v>
      </c>
      <c r="R120" t="s">
        <v>529</v>
      </c>
      <c r="S120" t="s">
        <v>537</v>
      </c>
      <c r="T120" t="s">
        <v>539</v>
      </c>
      <c r="U120">
        <v>5</v>
      </c>
      <c r="V120">
        <v>2025</v>
      </c>
      <c r="W120" s="2" t="str">
        <f t="shared" si="3"/>
        <v>Aug</v>
      </c>
      <c r="X120">
        <f t="shared" si="4"/>
        <v>0.37392273889530303</v>
      </c>
      <c r="Y120" t="str">
        <f>UPPER(Table1[[#This Row],[CustomerName]])</f>
        <v>JIYA SHAH</v>
      </c>
      <c r="Z120" t="str">
        <f t="shared" si="5"/>
        <v>Jiya</v>
      </c>
    </row>
    <row r="121" spans="1:26" x14ac:dyDescent="0.3">
      <c r="A121" t="s">
        <v>140</v>
      </c>
      <c r="B121" s="1">
        <v>45799</v>
      </c>
      <c r="C121" t="s">
        <v>339</v>
      </c>
      <c r="D121" t="s">
        <v>370</v>
      </c>
      <c r="E121" t="s">
        <v>429</v>
      </c>
      <c r="F121" t="s">
        <v>481</v>
      </c>
      <c r="G121">
        <v>39</v>
      </c>
      <c r="H121" t="s">
        <v>483</v>
      </c>
      <c r="I121" t="s">
        <v>487</v>
      </c>
      <c r="J121" t="s">
        <v>502</v>
      </c>
      <c r="K121" t="s">
        <v>515</v>
      </c>
      <c r="L121">
        <v>4</v>
      </c>
      <c r="M121">
        <v>1701.87</v>
      </c>
      <c r="N121">
        <v>0.15</v>
      </c>
      <c r="O121">
        <v>5786.36</v>
      </c>
      <c r="P121">
        <v>3955.68</v>
      </c>
      <c r="Q121">
        <v>1830.68</v>
      </c>
      <c r="R121" t="s">
        <v>529</v>
      </c>
      <c r="S121" t="s">
        <v>532</v>
      </c>
      <c r="T121" t="s">
        <v>539</v>
      </c>
      <c r="U121">
        <v>5</v>
      </c>
      <c r="V121">
        <v>2025</v>
      </c>
      <c r="W121" s="2" t="str">
        <f t="shared" si="3"/>
        <v>May</v>
      </c>
      <c r="X121">
        <f t="shared" si="4"/>
        <v>0.31637851775554926</v>
      </c>
      <c r="Y121" t="str">
        <f>UPPER(Table1[[#This Row],[CustomerName]])</f>
        <v>AARAV SHAH</v>
      </c>
      <c r="Z121" t="str">
        <f t="shared" si="5"/>
        <v>Aarav</v>
      </c>
    </row>
    <row r="122" spans="1:26" x14ac:dyDescent="0.3">
      <c r="A122" t="s">
        <v>141</v>
      </c>
      <c r="B122" s="1">
        <v>45734</v>
      </c>
      <c r="C122" t="s">
        <v>340</v>
      </c>
      <c r="D122" t="s">
        <v>381</v>
      </c>
      <c r="E122" t="s">
        <v>440</v>
      </c>
      <c r="F122" t="s">
        <v>482</v>
      </c>
      <c r="G122">
        <v>54</v>
      </c>
      <c r="H122" t="s">
        <v>485</v>
      </c>
      <c r="I122" t="s">
        <v>498</v>
      </c>
      <c r="J122" t="s">
        <v>504</v>
      </c>
      <c r="K122" t="s">
        <v>509</v>
      </c>
      <c r="L122">
        <v>4</v>
      </c>
      <c r="M122">
        <v>462.07</v>
      </c>
      <c r="N122">
        <v>0.15</v>
      </c>
      <c r="O122">
        <v>1571.04</v>
      </c>
      <c r="P122">
        <v>1257.26</v>
      </c>
      <c r="Q122">
        <v>313.77999999999997</v>
      </c>
      <c r="R122" t="s">
        <v>530</v>
      </c>
      <c r="S122" t="s">
        <v>532</v>
      </c>
      <c r="T122" t="s">
        <v>538</v>
      </c>
      <c r="U122">
        <v>5</v>
      </c>
      <c r="V122">
        <v>2025</v>
      </c>
      <c r="W122" s="2" t="str">
        <f t="shared" si="3"/>
        <v>Mar</v>
      </c>
      <c r="X122">
        <f t="shared" si="4"/>
        <v>0.19972756899887972</v>
      </c>
      <c r="Y122" t="str">
        <f>UPPER(Table1[[#This Row],[CustomerName]])</f>
        <v>AANYA SHAH</v>
      </c>
      <c r="Z122" t="str">
        <f t="shared" si="5"/>
        <v>Aanya</v>
      </c>
    </row>
    <row r="123" spans="1:26" x14ac:dyDescent="0.3">
      <c r="A123" t="s">
        <v>142</v>
      </c>
      <c r="B123" s="1">
        <v>46001</v>
      </c>
      <c r="C123" t="s">
        <v>341</v>
      </c>
      <c r="D123" t="s">
        <v>404</v>
      </c>
      <c r="E123" t="s">
        <v>463</v>
      </c>
      <c r="F123" t="s">
        <v>481</v>
      </c>
      <c r="G123">
        <v>32</v>
      </c>
      <c r="H123" t="s">
        <v>485</v>
      </c>
      <c r="I123" t="s">
        <v>496</v>
      </c>
      <c r="J123" t="s">
        <v>505</v>
      </c>
      <c r="K123" t="s">
        <v>520</v>
      </c>
      <c r="L123">
        <v>1</v>
      </c>
      <c r="M123">
        <v>2446.58</v>
      </c>
      <c r="N123">
        <v>0.1</v>
      </c>
      <c r="O123">
        <v>2201.92</v>
      </c>
      <c r="P123">
        <v>1532.72</v>
      </c>
      <c r="Q123">
        <v>669.2</v>
      </c>
      <c r="R123" t="s">
        <v>530</v>
      </c>
      <c r="S123" t="s">
        <v>532</v>
      </c>
      <c r="T123" t="s">
        <v>538</v>
      </c>
      <c r="U123">
        <v>4</v>
      </c>
      <c r="V123">
        <v>2025</v>
      </c>
      <c r="W123" s="2" t="str">
        <f t="shared" si="3"/>
        <v>Dec</v>
      </c>
      <c r="X123">
        <f t="shared" si="4"/>
        <v>0.30391658189216686</v>
      </c>
      <c r="Y123" t="str">
        <f>UPPER(Table1[[#This Row],[CustomerName]])</f>
        <v>AARAV PATEL</v>
      </c>
      <c r="Z123" t="str">
        <f t="shared" si="5"/>
        <v>Aarav</v>
      </c>
    </row>
    <row r="124" spans="1:26" x14ac:dyDescent="0.3">
      <c r="A124" t="s">
        <v>143</v>
      </c>
      <c r="B124" s="1">
        <v>45759</v>
      </c>
      <c r="C124" t="s">
        <v>278</v>
      </c>
      <c r="D124" t="s">
        <v>388</v>
      </c>
      <c r="E124" t="s">
        <v>447</v>
      </c>
      <c r="F124" t="s">
        <v>482</v>
      </c>
      <c r="G124">
        <v>43</v>
      </c>
      <c r="H124" t="s">
        <v>486</v>
      </c>
      <c r="I124" t="s">
        <v>500</v>
      </c>
      <c r="J124" t="s">
        <v>502</v>
      </c>
      <c r="K124" t="s">
        <v>515</v>
      </c>
      <c r="L124">
        <v>2</v>
      </c>
      <c r="M124">
        <v>1874.69</v>
      </c>
      <c r="N124">
        <v>0</v>
      </c>
      <c r="O124">
        <v>3749.38</v>
      </c>
      <c r="P124">
        <v>2609.41</v>
      </c>
      <c r="Q124">
        <v>1139.97</v>
      </c>
      <c r="R124" t="s">
        <v>531</v>
      </c>
      <c r="S124" t="s">
        <v>533</v>
      </c>
      <c r="T124" t="s">
        <v>538</v>
      </c>
      <c r="U124">
        <v>3</v>
      </c>
      <c r="V124">
        <v>2025</v>
      </c>
      <c r="W124" s="2" t="str">
        <f t="shared" si="3"/>
        <v>Apr</v>
      </c>
      <c r="X124">
        <f t="shared" si="4"/>
        <v>0.30404226832169584</v>
      </c>
      <c r="Y124" t="str">
        <f>UPPER(Table1[[#This Row],[CustomerName]])</f>
        <v>ARJUN SHAH</v>
      </c>
      <c r="Z124" t="str">
        <f t="shared" si="5"/>
        <v>Arjun</v>
      </c>
    </row>
    <row r="125" spans="1:26" x14ac:dyDescent="0.3">
      <c r="A125" t="s">
        <v>144</v>
      </c>
      <c r="B125" s="1">
        <v>45810</v>
      </c>
      <c r="C125" t="s">
        <v>296</v>
      </c>
      <c r="D125" t="s">
        <v>408</v>
      </c>
      <c r="E125" t="s">
        <v>467</v>
      </c>
      <c r="F125" t="s">
        <v>482</v>
      </c>
      <c r="G125">
        <v>34</v>
      </c>
      <c r="H125" t="s">
        <v>484</v>
      </c>
      <c r="I125" t="s">
        <v>488</v>
      </c>
      <c r="J125" t="s">
        <v>503</v>
      </c>
      <c r="K125" t="s">
        <v>508</v>
      </c>
      <c r="L125">
        <v>4</v>
      </c>
      <c r="M125">
        <v>3486.95</v>
      </c>
      <c r="N125">
        <v>0.05</v>
      </c>
      <c r="O125">
        <v>13250.41</v>
      </c>
      <c r="P125">
        <v>10242.26</v>
      </c>
      <c r="Q125">
        <v>3008.15</v>
      </c>
      <c r="R125" t="s">
        <v>531</v>
      </c>
      <c r="S125" t="s">
        <v>536</v>
      </c>
      <c r="T125" t="s">
        <v>539</v>
      </c>
      <c r="U125">
        <v>3</v>
      </c>
      <c r="V125">
        <v>2025</v>
      </c>
      <c r="W125" s="2" t="str">
        <f t="shared" si="3"/>
        <v>Jun</v>
      </c>
      <c r="X125">
        <f t="shared" si="4"/>
        <v>0.22702316381153489</v>
      </c>
      <c r="Y125" t="str">
        <f>UPPER(Table1[[#This Row],[CustomerName]])</f>
        <v>NISHA PATEL</v>
      </c>
      <c r="Z125" t="str">
        <f t="shared" si="5"/>
        <v>Nisha</v>
      </c>
    </row>
    <row r="126" spans="1:26" x14ac:dyDescent="0.3">
      <c r="A126" t="s">
        <v>145</v>
      </c>
      <c r="B126" s="1">
        <v>45764</v>
      </c>
      <c r="C126" t="s">
        <v>318</v>
      </c>
      <c r="D126" t="s">
        <v>377</v>
      </c>
      <c r="E126" t="s">
        <v>436</v>
      </c>
      <c r="F126" t="s">
        <v>481</v>
      </c>
      <c r="G126">
        <v>58</v>
      </c>
      <c r="H126" t="s">
        <v>483</v>
      </c>
      <c r="I126" t="s">
        <v>487</v>
      </c>
      <c r="J126" t="s">
        <v>502</v>
      </c>
      <c r="K126" t="s">
        <v>514</v>
      </c>
      <c r="L126">
        <v>1</v>
      </c>
      <c r="M126">
        <v>1537.13</v>
      </c>
      <c r="N126">
        <v>0.05</v>
      </c>
      <c r="O126">
        <v>1460.27</v>
      </c>
      <c r="P126">
        <v>922.97</v>
      </c>
      <c r="Q126">
        <v>537.29999999999995</v>
      </c>
      <c r="R126" t="s">
        <v>530</v>
      </c>
      <c r="S126" t="s">
        <v>535</v>
      </c>
      <c r="T126" t="s">
        <v>538</v>
      </c>
      <c r="U126">
        <v>3</v>
      </c>
      <c r="V126">
        <v>2025</v>
      </c>
      <c r="W126" s="2" t="str">
        <f t="shared" si="3"/>
        <v>Apr</v>
      </c>
      <c r="X126">
        <f t="shared" si="4"/>
        <v>0.36794565388592521</v>
      </c>
      <c r="Y126" t="str">
        <f>UPPER(Table1[[#This Row],[CustomerName]])</f>
        <v>AANYA PATEL</v>
      </c>
      <c r="Z126" t="str">
        <f t="shared" si="5"/>
        <v>Aanya</v>
      </c>
    </row>
    <row r="127" spans="1:26" x14ac:dyDescent="0.3">
      <c r="A127" t="s">
        <v>146</v>
      </c>
      <c r="B127" s="1">
        <v>45709</v>
      </c>
      <c r="C127" t="s">
        <v>342</v>
      </c>
      <c r="D127" t="s">
        <v>415</v>
      </c>
      <c r="E127" t="s">
        <v>474</v>
      </c>
      <c r="F127" t="s">
        <v>481</v>
      </c>
      <c r="G127">
        <v>41</v>
      </c>
      <c r="H127" t="s">
        <v>485</v>
      </c>
      <c r="I127" t="s">
        <v>489</v>
      </c>
      <c r="J127" t="s">
        <v>506</v>
      </c>
      <c r="K127" t="s">
        <v>519</v>
      </c>
      <c r="L127">
        <v>2</v>
      </c>
      <c r="M127">
        <v>1221.18</v>
      </c>
      <c r="N127">
        <v>0.02</v>
      </c>
      <c r="O127">
        <v>2393.5100000000002</v>
      </c>
      <c r="P127">
        <v>1675.41</v>
      </c>
      <c r="Q127">
        <v>718.1</v>
      </c>
      <c r="R127" t="s">
        <v>530</v>
      </c>
      <c r="S127" t="s">
        <v>536</v>
      </c>
      <c r="T127" t="s">
        <v>538</v>
      </c>
      <c r="U127">
        <v>4</v>
      </c>
      <c r="V127">
        <v>2025</v>
      </c>
      <c r="W127" s="2" t="str">
        <f t="shared" si="3"/>
        <v>Feb</v>
      </c>
      <c r="X127">
        <f t="shared" si="4"/>
        <v>0.30001963643352231</v>
      </c>
      <c r="Y127" t="str">
        <f>UPPER(Table1[[#This Row],[CustomerName]])</f>
        <v>KRISH PATEL</v>
      </c>
      <c r="Z127" t="str">
        <f t="shared" si="5"/>
        <v>Krish</v>
      </c>
    </row>
    <row r="128" spans="1:26" x14ac:dyDescent="0.3">
      <c r="A128" t="s">
        <v>147</v>
      </c>
      <c r="B128" s="1">
        <v>46008</v>
      </c>
      <c r="C128" t="s">
        <v>343</v>
      </c>
      <c r="D128" t="s">
        <v>414</v>
      </c>
      <c r="E128" t="s">
        <v>473</v>
      </c>
      <c r="F128" t="s">
        <v>481</v>
      </c>
      <c r="G128">
        <v>42</v>
      </c>
      <c r="H128" t="s">
        <v>485</v>
      </c>
      <c r="I128" t="s">
        <v>492</v>
      </c>
      <c r="J128" t="s">
        <v>506</v>
      </c>
      <c r="K128" t="s">
        <v>519</v>
      </c>
      <c r="L128">
        <v>1</v>
      </c>
      <c r="M128">
        <v>1212.92</v>
      </c>
      <c r="N128">
        <v>0.02</v>
      </c>
      <c r="O128">
        <v>1188.6600000000001</v>
      </c>
      <c r="P128">
        <v>955.15</v>
      </c>
      <c r="Q128">
        <v>233.51</v>
      </c>
      <c r="R128" t="s">
        <v>527</v>
      </c>
      <c r="S128" t="s">
        <v>536</v>
      </c>
      <c r="T128" t="s">
        <v>540</v>
      </c>
      <c r="U128">
        <v>5</v>
      </c>
      <c r="V128">
        <v>2025</v>
      </c>
      <c r="W128" s="2" t="str">
        <f t="shared" si="3"/>
        <v>Dec</v>
      </c>
      <c r="X128">
        <f t="shared" si="4"/>
        <v>0.19644810122322615</v>
      </c>
      <c r="Y128" t="str">
        <f>UPPER(Table1[[#This Row],[CustomerName]])</f>
        <v>RAHUL PATEL</v>
      </c>
      <c r="Z128" t="str">
        <f t="shared" si="5"/>
        <v>Rahul</v>
      </c>
    </row>
    <row r="129" spans="1:26" x14ac:dyDescent="0.3">
      <c r="A129" t="s">
        <v>148</v>
      </c>
      <c r="B129" s="1">
        <v>45830</v>
      </c>
      <c r="C129" t="s">
        <v>325</v>
      </c>
      <c r="D129" t="s">
        <v>394</v>
      </c>
      <c r="E129" t="s">
        <v>453</v>
      </c>
      <c r="F129" t="s">
        <v>481</v>
      </c>
      <c r="G129">
        <v>18</v>
      </c>
      <c r="H129" t="s">
        <v>485</v>
      </c>
      <c r="I129" t="s">
        <v>496</v>
      </c>
      <c r="J129" t="s">
        <v>504</v>
      </c>
      <c r="K129" t="s">
        <v>516</v>
      </c>
      <c r="L129">
        <v>5</v>
      </c>
      <c r="M129">
        <v>955.33</v>
      </c>
      <c r="N129">
        <v>0</v>
      </c>
      <c r="O129">
        <v>4776.6499999999996</v>
      </c>
      <c r="P129">
        <v>3719.81</v>
      </c>
      <c r="Q129">
        <v>1056.8399999999999</v>
      </c>
      <c r="R129" t="s">
        <v>531</v>
      </c>
      <c r="S129" t="s">
        <v>533</v>
      </c>
      <c r="T129" t="s">
        <v>538</v>
      </c>
      <c r="U129">
        <v>5</v>
      </c>
      <c r="V129">
        <v>2025</v>
      </c>
      <c r="W129" s="2" t="str">
        <f t="shared" si="3"/>
        <v>Jun</v>
      </c>
      <c r="X129">
        <f t="shared" si="4"/>
        <v>0.22125129536390567</v>
      </c>
      <c r="Y129" t="str">
        <f>UPPER(Table1[[#This Row],[CustomerName]])</f>
        <v>HARSH SHAH</v>
      </c>
      <c r="Z129" t="str">
        <f t="shared" si="5"/>
        <v>Harsh</v>
      </c>
    </row>
    <row r="130" spans="1:26" x14ac:dyDescent="0.3">
      <c r="A130" t="s">
        <v>149</v>
      </c>
      <c r="B130" s="1">
        <v>45865</v>
      </c>
      <c r="C130" t="s">
        <v>344</v>
      </c>
      <c r="D130" t="s">
        <v>416</v>
      </c>
      <c r="E130" t="s">
        <v>475</v>
      </c>
      <c r="F130" t="s">
        <v>481</v>
      </c>
      <c r="G130">
        <v>42</v>
      </c>
      <c r="H130" t="s">
        <v>483</v>
      </c>
      <c r="I130" t="s">
        <v>490</v>
      </c>
      <c r="J130" t="s">
        <v>505</v>
      </c>
      <c r="K130" t="s">
        <v>522</v>
      </c>
      <c r="L130">
        <v>2</v>
      </c>
      <c r="M130">
        <v>5185.57</v>
      </c>
      <c r="N130">
        <v>0.08</v>
      </c>
      <c r="O130">
        <v>9541.4500000000007</v>
      </c>
      <c r="P130">
        <v>6724.31</v>
      </c>
      <c r="Q130">
        <v>2817.14</v>
      </c>
      <c r="R130" t="s">
        <v>531</v>
      </c>
      <c r="S130" t="s">
        <v>532</v>
      </c>
      <c r="T130" t="s">
        <v>540</v>
      </c>
      <c r="U130">
        <v>5</v>
      </c>
      <c r="V130">
        <v>2025</v>
      </c>
      <c r="W130" s="2" t="str">
        <f t="shared" si="3"/>
        <v>Jul</v>
      </c>
      <c r="X130">
        <f t="shared" si="4"/>
        <v>0.29525281796791891</v>
      </c>
      <c r="Y130" t="str">
        <f>UPPER(Table1[[#This Row],[CustomerName]])</f>
        <v>KHUSHI PATEL</v>
      </c>
      <c r="Z130" t="str">
        <f t="shared" si="5"/>
        <v>Khushi</v>
      </c>
    </row>
    <row r="131" spans="1:26" x14ac:dyDescent="0.3">
      <c r="A131" t="s">
        <v>150</v>
      </c>
      <c r="B131" s="1">
        <v>45899</v>
      </c>
      <c r="C131" t="s">
        <v>277</v>
      </c>
      <c r="D131" t="s">
        <v>366</v>
      </c>
      <c r="E131" t="s">
        <v>425</v>
      </c>
      <c r="F131" t="s">
        <v>482</v>
      </c>
      <c r="G131">
        <v>22</v>
      </c>
      <c r="H131" t="s">
        <v>483</v>
      </c>
      <c r="I131" t="s">
        <v>490</v>
      </c>
      <c r="J131" t="s">
        <v>505</v>
      </c>
      <c r="K131" t="s">
        <v>522</v>
      </c>
      <c r="L131">
        <v>2</v>
      </c>
      <c r="M131">
        <v>4978.3100000000004</v>
      </c>
      <c r="N131">
        <v>0.1</v>
      </c>
      <c r="O131">
        <v>8960.9599999999991</v>
      </c>
      <c r="P131">
        <v>5727.33</v>
      </c>
      <c r="Q131">
        <v>3233.63</v>
      </c>
      <c r="R131" t="s">
        <v>530</v>
      </c>
      <c r="S131" t="s">
        <v>534</v>
      </c>
      <c r="T131" t="s">
        <v>538</v>
      </c>
      <c r="U131">
        <v>4</v>
      </c>
      <c r="V131">
        <v>2025</v>
      </c>
      <c r="W131" s="2" t="str">
        <f t="shared" ref="W131:W194" si="6">TEXT(B131,"mmm")</f>
        <v>Aug</v>
      </c>
      <c r="X131">
        <f t="shared" ref="X131:X194" si="7">IFERROR(Q131/O131,0)</f>
        <v>0.36085754204906623</v>
      </c>
      <c r="Y131" t="str">
        <f>UPPER(Table1[[#This Row],[CustomerName]])</f>
        <v>ADITYA SHAH</v>
      </c>
      <c r="Z131" t="str">
        <f t="shared" ref="Z131:Z194" si="8">LEFT(E131,FIND( " ",E131)-1)</f>
        <v>Aditya</v>
      </c>
    </row>
    <row r="132" spans="1:26" x14ac:dyDescent="0.3">
      <c r="A132" t="s">
        <v>151</v>
      </c>
      <c r="B132" s="1">
        <v>45735</v>
      </c>
      <c r="C132" t="s">
        <v>290</v>
      </c>
      <c r="D132" t="s">
        <v>383</v>
      </c>
      <c r="E132" t="s">
        <v>442</v>
      </c>
      <c r="F132" t="s">
        <v>481</v>
      </c>
      <c r="G132">
        <v>20</v>
      </c>
      <c r="H132" t="s">
        <v>484</v>
      </c>
      <c r="I132" t="s">
        <v>499</v>
      </c>
      <c r="J132" t="s">
        <v>505</v>
      </c>
      <c r="K132" t="s">
        <v>522</v>
      </c>
      <c r="L132">
        <v>3</v>
      </c>
      <c r="M132">
        <v>5077.6400000000003</v>
      </c>
      <c r="N132">
        <v>0.02</v>
      </c>
      <c r="O132">
        <v>14928.26</v>
      </c>
      <c r="P132">
        <v>10462.68</v>
      </c>
      <c r="Q132">
        <v>4465.58</v>
      </c>
      <c r="R132" t="s">
        <v>530</v>
      </c>
      <c r="S132" t="s">
        <v>532</v>
      </c>
      <c r="T132" t="s">
        <v>538</v>
      </c>
      <c r="U132">
        <v>5</v>
      </c>
      <c r="V132">
        <v>2025</v>
      </c>
      <c r="W132" s="2" t="str">
        <f t="shared" si="6"/>
        <v>Mar</v>
      </c>
      <c r="X132">
        <f t="shared" si="7"/>
        <v>0.29913600111466437</v>
      </c>
      <c r="Y132" t="str">
        <f>UPPER(Table1[[#This Row],[CustomerName]])</f>
        <v>DEV PATEL</v>
      </c>
      <c r="Z132" t="str">
        <f t="shared" si="8"/>
        <v>Dev</v>
      </c>
    </row>
    <row r="133" spans="1:26" x14ac:dyDescent="0.3">
      <c r="A133" t="s">
        <v>152</v>
      </c>
      <c r="B133" s="1">
        <v>45959</v>
      </c>
      <c r="C133" t="s">
        <v>345</v>
      </c>
      <c r="D133" t="s">
        <v>398</v>
      </c>
      <c r="E133" t="s">
        <v>457</v>
      </c>
      <c r="F133" t="s">
        <v>482</v>
      </c>
      <c r="G133">
        <v>23</v>
      </c>
      <c r="H133" t="s">
        <v>484</v>
      </c>
      <c r="I133" t="s">
        <v>488</v>
      </c>
      <c r="J133" t="s">
        <v>506</v>
      </c>
      <c r="K133" t="s">
        <v>524</v>
      </c>
      <c r="L133">
        <v>5</v>
      </c>
      <c r="M133">
        <v>512.99</v>
      </c>
      <c r="N133">
        <v>0.1</v>
      </c>
      <c r="O133">
        <v>2308.4499999999998</v>
      </c>
      <c r="P133">
        <v>1844.08</v>
      </c>
      <c r="Q133">
        <v>464.37</v>
      </c>
      <c r="R133" t="s">
        <v>528</v>
      </c>
      <c r="S133" t="s">
        <v>532</v>
      </c>
      <c r="T133" t="s">
        <v>538</v>
      </c>
      <c r="U133">
        <v>4</v>
      </c>
      <c r="V133">
        <v>2025</v>
      </c>
      <c r="W133" s="2" t="str">
        <f t="shared" si="6"/>
        <v>Oct</v>
      </c>
      <c r="X133">
        <f t="shared" si="7"/>
        <v>0.20116095215404278</v>
      </c>
      <c r="Y133" t="str">
        <f>UPPER(Table1[[#This Row],[CustomerName]])</f>
        <v>SHREYA SHAH</v>
      </c>
      <c r="Z133" t="str">
        <f t="shared" si="8"/>
        <v>Shreya</v>
      </c>
    </row>
    <row r="134" spans="1:26" x14ac:dyDescent="0.3">
      <c r="A134" t="s">
        <v>153</v>
      </c>
      <c r="B134" s="1">
        <v>45853</v>
      </c>
      <c r="C134" t="s">
        <v>346</v>
      </c>
      <c r="D134" t="s">
        <v>417</v>
      </c>
      <c r="E134" t="s">
        <v>476</v>
      </c>
      <c r="F134" t="s">
        <v>482</v>
      </c>
      <c r="G134">
        <v>23</v>
      </c>
      <c r="H134" t="s">
        <v>483</v>
      </c>
      <c r="I134" t="s">
        <v>490</v>
      </c>
      <c r="J134" t="s">
        <v>505</v>
      </c>
      <c r="K134" t="s">
        <v>518</v>
      </c>
      <c r="L134">
        <v>4</v>
      </c>
      <c r="M134">
        <v>52656.67</v>
      </c>
      <c r="N134">
        <v>0.1</v>
      </c>
      <c r="O134">
        <v>189564.01</v>
      </c>
      <c r="P134">
        <v>127809.65</v>
      </c>
      <c r="Q134">
        <v>61754.36</v>
      </c>
      <c r="R134" t="s">
        <v>531</v>
      </c>
      <c r="S134" t="s">
        <v>534</v>
      </c>
      <c r="T134" t="s">
        <v>538</v>
      </c>
      <c r="U134">
        <v>4</v>
      </c>
      <c r="V134">
        <v>2025</v>
      </c>
      <c r="W134" s="2" t="str">
        <f t="shared" si="6"/>
        <v>Jul</v>
      </c>
      <c r="X134">
        <f t="shared" si="7"/>
        <v>0.32577048776294615</v>
      </c>
      <c r="Y134" t="str">
        <f>UPPER(Table1[[#This Row],[CustomerName]])</f>
        <v>ISHAAN SHAH</v>
      </c>
      <c r="Z134" t="str">
        <f t="shared" si="8"/>
        <v>Ishaan</v>
      </c>
    </row>
    <row r="135" spans="1:26" x14ac:dyDescent="0.3">
      <c r="A135" t="s">
        <v>154</v>
      </c>
      <c r="B135" s="1">
        <v>45999</v>
      </c>
      <c r="C135" t="s">
        <v>308</v>
      </c>
      <c r="D135" t="s">
        <v>384</v>
      </c>
      <c r="E135" t="s">
        <v>443</v>
      </c>
      <c r="F135" t="s">
        <v>482</v>
      </c>
      <c r="G135">
        <v>28</v>
      </c>
      <c r="H135" t="s">
        <v>484</v>
      </c>
      <c r="I135" t="s">
        <v>488</v>
      </c>
      <c r="J135" t="s">
        <v>504</v>
      </c>
      <c r="K135" t="s">
        <v>517</v>
      </c>
      <c r="L135">
        <v>1</v>
      </c>
      <c r="M135">
        <v>323.77999999999997</v>
      </c>
      <c r="N135">
        <v>0.15</v>
      </c>
      <c r="O135">
        <v>275.20999999999998</v>
      </c>
      <c r="P135">
        <v>188.99</v>
      </c>
      <c r="Q135">
        <v>86.22</v>
      </c>
      <c r="R135" t="s">
        <v>527</v>
      </c>
      <c r="S135" t="s">
        <v>533</v>
      </c>
      <c r="T135" t="s">
        <v>539</v>
      </c>
      <c r="U135">
        <v>4</v>
      </c>
      <c r="V135">
        <v>2025</v>
      </c>
      <c r="W135" s="2" t="str">
        <f t="shared" si="6"/>
        <v>Dec</v>
      </c>
      <c r="X135">
        <f t="shared" si="7"/>
        <v>0.3132880345917663</v>
      </c>
      <c r="Y135" t="str">
        <f>UPPER(Table1[[#This Row],[CustomerName]])</f>
        <v>ADITYA PATEL</v>
      </c>
      <c r="Z135" t="str">
        <f t="shared" si="8"/>
        <v>Aditya</v>
      </c>
    </row>
    <row r="136" spans="1:26" x14ac:dyDescent="0.3">
      <c r="A136" t="s">
        <v>155</v>
      </c>
      <c r="B136" s="1">
        <v>45960</v>
      </c>
      <c r="C136" t="s">
        <v>291</v>
      </c>
      <c r="D136" t="s">
        <v>370</v>
      </c>
      <c r="E136" t="s">
        <v>429</v>
      </c>
      <c r="F136" t="s">
        <v>481</v>
      </c>
      <c r="G136">
        <v>39</v>
      </c>
      <c r="H136" t="s">
        <v>483</v>
      </c>
      <c r="I136" t="s">
        <v>487</v>
      </c>
      <c r="J136" t="s">
        <v>502</v>
      </c>
      <c r="K136" t="s">
        <v>515</v>
      </c>
      <c r="L136">
        <v>1</v>
      </c>
      <c r="M136">
        <v>1892.68</v>
      </c>
      <c r="N136">
        <v>0.08</v>
      </c>
      <c r="O136">
        <v>1741.27</v>
      </c>
      <c r="P136">
        <v>1200.6300000000001</v>
      </c>
      <c r="Q136">
        <v>540.64</v>
      </c>
      <c r="R136" t="s">
        <v>527</v>
      </c>
      <c r="S136" t="s">
        <v>536</v>
      </c>
      <c r="T136" t="s">
        <v>538</v>
      </c>
      <c r="U136">
        <v>4</v>
      </c>
      <c r="V136">
        <v>2025</v>
      </c>
      <c r="W136" s="2" t="str">
        <f t="shared" si="6"/>
        <v>Oct</v>
      </c>
      <c r="X136">
        <f t="shared" si="7"/>
        <v>0.3104860245682749</v>
      </c>
      <c r="Y136" t="str">
        <f>UPPER(Table1[[#This Row],[CustomerName]])</f>
        <v>AARAV SHAH</v>
      </c>
      <c r="Z136" t="str">
        <f t="shared" si="8"/>
        <v>Aarav</v>
      </c>
    </row>
    <row r="137" spans="1:26" x14ac:dyDescent="0.3">
      <c r="A137" t="s">
        <v>156</v>
      </c>
      <c r="B137" s="1">
        <v>46005</v>
      </c>
      <c r="C137" t="s">
        <v>275</v>
      </c>
      <c r="D137" t="s">
        <v>377</v>
      </c>
      <c r="E137" t="s">
        <v>436</v>
      </c>
      <c r="F137" t="s">
        <v>481</v>
      </c>
      <c r="G137">
        <v>58</v>
      </c>
      <c r="H137" t="s">
        <v>483</v>
      </c>
      <c r="I137" t="s">
        <v>487</v>
      </c>
      <c r="J137" t="s">
        <v>505</v>
      </c>
      <c r="K137" t="s">
        <v>522</v>
      </c>
      <c r="L137">
        <v>4</v>
      </c>
      <c r="M137">
        <v>4794.93</v>
      </c>
      <c r="N137">
        <v>0.15</v>
      </c>
      <c r="O137">
        <v>16302.76</v>
      </c>
      <c r="P137">
        <v>11806.32</v>
      </c>
      <c r="Q137">
        <v>4496.4399999999996</v>
      </c>
      <c r="R137" t="s">
        <v>531</v>
      </c>
      <c r="S137" t="s">
        <v>532</v>
      </c>
      <c r="T137" t="s">
        <v>538</v>
      </c>
      <c r="U137">
        <v>4</v>
      </c>
      <c r="V137">
        <v>2025</v>
      </c>
      <c r="W137" s="2" t="str">
        <f t="shared" si="6"/>
        <v>Dec</v>
      </c>
      <c r="X137">
        <f t="shared" si="7"/>
        <v>0.2758085134050921</v>
      </c>
      <c r="Y137" t="str">
        <f>UPPER(Table1[[#This Row],[CustomerName]])</f>
        <v>AANYA PATEL</v>
      </c>
      <c r="Z137" t="str">
        <f t="shared" si="8"/>
        <v>Aanya</v>
      </c>
    </row>
    <row r="138" spans="1:26" x14ac:dyDescent="0.3">
      <c r="A138" t="s">
        <v>157</v>
      </c>
      <c r="B138" s="1">
        <v>45883</v>
      </c>
      <c r="C138" t="s">
        <v>316</v>
      </c>
      <c r="D138" t="s">
        <v>392</v>
      </c>
      <c r="E138" t="s">
        <v>451</v>
      </c>
      <c r="F138" t="s">
        <v>482</v>
      </c>
      <c r="G138">
        <v>19</v>
      </c>
      <c r="H138" t="s">
        <v>483</v>
      </c>
      <c r="I138" t="s">
        <v>493</v>
      </c>
      <c r="J138" t="s">
        <v>505</v>
      </c>
      <c r="K138" t="s">
        <v>518</v>
      </c>
      <c r="L138">
        <v>2</v>
      </c>
      <c r="M138">
        <v>53952</v>
      </c>
      <c r="N138">
        <v>0.02</v>
      </c>
      <c r="O138">
        <v>105745.92</v>
      </c>
      <c r="P138">
        <v>85378.36</v>
      </c>
      <c r="Q138">
        <v>20367.560000000001</v>
      </c>
      <c r="R138" t="s">
        <v>529</v>
      </c>
      <c r="S138" t="s">
        <v>532</v>
      </c>
      <c r="T138" t="s">
        <v>538</v>
      </c>
      <c r="U138">
        <v>4</v>
      </c>
      <c r="V138">
        <v>2025</v>
      </c>
      <c r="W138" s="2" t="str">
        <f t="shared" si="6"/>
        <v>Aug</v>
      </c>
      <c r="X138">
        <f t="shared" si="7"/>
        <v>0.19260847132447287</v>
      </c>
      <c r="Y138" t="str">
        <f>UPPER(Table1[[#This Row],[CustomerName]])</f>
        <v>MAHI SHAH</v>
      </c>
      <c r="Z138" t="str">
        <f t="shared" si="8"/>
        <v>Mahi</v>
      </c>
    </row>
    <row r="139" spans="1:26" x14ac:dyDescent="0.3">
      <c r="A139" t="s">
        <v>158</v>
      </c>
      <c r="B139" s="1">
        <v>45811</v>
      </c>
      <c r="C139" t="s">
        <v>320</v>
      </c>
      <c r="D139" t="s">
        <v>377</v>
      </c>
      <c r="E139" t="s">
        <v>436</v>
      </c>
      <c r="F139" t="s">
        <v>481</v>
      </c>
      <c r="G139">
        <v>58</v>
      </c>
      <c r="H139" t="s">
        <v>483</v>
      </c>
      <c r="I139" t="s">
        <v>487</v>
      </c>
      <c r="J139" t="s">
        <v>502</v>
      </c>
      <c r="K139" t="s">
        <v>507</v>
      </c>
      <c r="L139">
        <v>3</v>
      </c>
      <c r="M139">
        <v>2833.42</v>
      </c>
      <c r="N139">
        <v>0.08</v>
      </c>
      <c r="O139">
        <v>7820.24</v>
      </c>
      <c r="P139">
        <v>6180.22</v>
      </c>
      <c r="Q139">
        <v>1640.02</v>
      </c>
      <c r="R139" t="s">
        <v>531</v>
      </c>
      <c r="S139" t="s">
        <v>536</v>
      </c>
      <c r="T139" t="s">
        <v>539</v>
      </c>
      <c r="U139">
        <v>3</v>
      </c>
      <c r="V139">
        <v>2025</v>
      </c>
      <c r="W139" s="2" t="str">
        <f t="shared" si="6"/>
        <v>Jun</v>
      </c>
      <c r="X139">
        <f t="shared" si="7"/>
        <v>0.20971479136190194</v>
      </c>
      <c r="Y139" t="str">
        <f>UPPER(Table1[[#This Row],[CustomerName]])</f>
        <v>AANYA PATEL</v>
      </c>
      <c r="Z139" t="str">
        <f t="shared" si="8"/>
        <v>Aanya</v>
      </c>
    </row>
    <row r="140" spans="1:26" x14ac:dyDescent="0.3">
      <c r="A140" t="s">
        <v>159</v>
      </c>
      <c r="B140" s="1">
        <v>45948</v>
      </c>
      <c r="C140" t="s">
        <v>310</v>
      </c>
      <c r="D140" t="s">
        <v>364</v>
      </c>
      <c r="E140" t="s">
        <v>423</v>
      </c>
      <c r="F140" t="s">
        <v>482</v>
      </c>
      <c r="G140">
        <v>35</v>
      </c>
      <c r="H140" t="s">
        <v>484</v>
      </c>
      <c r="I140" t="s">
        <v>488</v>
      </c>
      <c r="J140" t="s">
        <v>504</v>
      </c>
      <c r="K140" t="s">
        <v>517</v>
      </c>
      <c r="L140">
        <v>3</v>
      </c>
      <c r="M140">
        <v>313.92</v>
      </c>
      <c r="N140">
        <v>0.08</v>
      </c>
      <c r="O140">
        <v>866.42</v>
      </c>
      <c r="P140">
        <v>679.05</v>
      </c>
      <c r="Q140">
        <v>187.37</v>
      </c>
      <c r="R140" t="s">
        <v>530</v>
      </c>
      <c r="S140" t="s">
        <v>534</v>
      </c>
      <c r="T140" t="s">
        <v>540</v>
      </c>
      <c r="U140">
        <v>5</v>
      </c>
      <c r="V140">
        <v>2025</v>
      </c>
      <c r="W140" s="2" t="str">
        <f t="shared" si="6"/>
        <v>Oct</v>
      </c>
      <c r="X140">
        <f t="shared" si="7"/>
        <v>0.21625770411578682</v>
      </c>
      <c r="Y140" t="str">
        <f>UPPER(Table1[[#This Row],[CustomerName]])</f>
        <v>ISHA PATEL</v>
      </c>
      <c r="Z140" t="str">
        <f t="shared" si="8"/>
        <v>Isha</v>
      </c>
    </row>
    <row r="141" spans="1:26" x14ac:dyDescent="0.3">
      <c r="A141" t="s">
        <v>160</v>
      </c>
      <c r="B141" s="1">
        <v>45863</v>
      </c>
      <c r="C141" t="s">
        <v>320</v>
      </c>
      <c r="D141" t="s">
        <v>364</v>
      </c>
      <c r="E141" t="s">
        <v>423</v>
      </c>
      <c r="F141" t="s">
        <v>482</v>
      </c>
      <c r="G141">
        <v>35</v>
      </c>
      <c r="H141" t="s">
        <v>484</v>
      </c>
      <c r="I141" t="s">
        <v>488</v>
      </c>
      <c r="J141" t="s">
        <v>502</v>
      </c>
      <c r="K141" t="s">
        <v>513</v>
      </c>
      <c r="L141">
        <v>2</v>
      </c>
      <c r="M141">
        <v>847.08</v>
      </c>
      <c r="N141">
        <v>0.15</v>
      </c>
      <c r="O141">
        <v>1440.04</v>
      </c>
      <c r="P141">
        <v>983.18</v>
      </c>
      <c r="Q141">
        <v>456.86</v>
      </c>
      <c r="R141" t="s">
        <v>529</v>
      </c>
      <c r="S141" t="s">
        <v>537</v>
      </c>
      <c r="T141" t="s">
        <v>539</v>
      </c>
      <c r="U141">
        <v>5</v>
      </c>
      <c r="V141">
        <v>2025</v>
      </c>
      <c r="W141" s="2" t="str">
        <f t="shared" si="6"/>
        <v>Jul</v>
      </c>
      <c r="X141">
        <f t="shared" si="7"/>
        <v>0.31725507624788202</v>
      </c>
      <c r="Y141" t="str">
        <f>UPPER(Table1[[#This Row],[CustomerName]])</f>
        <v>ISHA PATEL</v>
      </c>
      <c r="Z141" t="str">
        <f t="shared" si="8"/>
        <v>Isha</v>
      </c>
    </row>
    <row r="142" spans="1:26" x14ac:dyDescent="0.3">
      <c r="A142" t="s">
        <v>161</v>
      </c>
      <c r="B142" s="1">
        <v>45682</v>
      </c>
      <c r="C142" t="s">
        <v>283</v>
      </c>
      <c r="D142" t="s">
        <v>392</v>
      </c>
      <c r="E142" t="s">
        <v>451</v>
      </c>
      <c r="F142" t="s">
        <v>482</v>
      </c>
      <c r="G142">
        <v>19</v>
      </c>
      <c r="H142" t="s">
        <v>483</v>
      </c>
      <c r="I142" t="s">
        <v>493</v>
      </c>
      <c r="J142" t="s">
        <v>505</v>
      </c>
      <c r="K142" t="s">
        <v>510</v>
      </c>
      <c r="L142">
        <v>4</v>
      </c>
      <c r="M142">
        <v>28248.799999999999</v>
      </c>
      <c r="N142">
        <v>0.08</v>
      </c>
      <c r="O142">
        <v>103955.58</v>
      </c>
      <c r="P142">
        <v>66115.03</v>
      </c>
      <c r="Q142">
        <v>37840.550000000003</v>
      </c>
      <c r="R142" t="s">
        <v>527</v>
      </c>
      <c r="S142" t="s">
        <v>536</v>
      </c>
      <c r="T142" t="s">
        <v>538</v>
      </c>
      <c r="U142">
        <v>4</v>
      </c>
      <c r="V142">
        <v>2025</v>
      </c>
      <c r="W142" s="2" t="str">
        <f t="shared" si="6"/>
        <v>Jan</v>
      </c>
      <c r="X142">
        <f t="shared" si="7"/>
        <v>0.3640069152613068</v>
      </c>
      <c r="Y142" t="str">
        <f>UPPER(Table1[[#This Row],[CustomerName]])</f>
        <v>MAHI SHAH</v>
      </c>
      <c r="Z142" t="str">
        <f t="shared" si="8"/>
        <v>Mahi</v>
      </c>
    </row>
    <row r="143" spans="1:26" x14ac:dyDescent="0.3">
      <c r="A143" t="s">
        <v>162</v>
      </c>
      <c r="B143" s="1">
        <v>45973</v>
      </c>
      <c r="C143" t="s">
        <v>279</v>
      </c>
      <c r="D143" t="s">
        <v>364</v>
      </c>
      <c r="E143" t="s">
        <v>423</v>
      </c>
      <c r="F143" t="s">
        <v>482</v>
      </c>
      <c r="G143">
        <v>35</v>
      </c>
      <c r="H143" t="s">
        <v>484</v>
      </c>
      <c r="I143" t="s">
        <v>488</v>
      </c>
      <c r="J143" t="s">
        <v>505</v>
      </c>
      <c r="K143" t="s">
        <v>510</v>
      </c>
      <c r="L143">
        <v>2</v>
      </c>
      <c r="M143">
        <v>30720.97</v>
      </c>
      <c r="N143">
        <v>0.05</v>
      </c>
      <c r="O143">
        <v>58369.84</v>
      </c>
      <c r="P143">
        <v>40700.83</v>
      </c>
      <c r="Q143">
        <v>17669.009999999998</v>
      </c>
      <c r="R143" t="s">
        <v>530</v>
      </c>
      <c r="S143" t="s">
        <v>534</v>
      </c>
      <c r="T143" t="s">
        <v>540</v>
      </c>
      <c r="U143">
        <v>4</v>
      </c>
      <c r="V143">
        <v>2025</v>
      </c>
      <c r="W143" s="2" t="str">
        <f t="shared" si="6"/>
        <v>Nov</v>
      </c>
      <c r="X143">
        <f t="shared" si="7"/>
        <v>0.30270787105121411</v>
      </c>
      <c r="Y143" t="str">
        <f>UPPER(Table1[[#This Row],[CustomerName]])</f>
        <v>ISHA PATEL</v>
      </c>
      <c r="Z143" t="str">
        <f t="shared" si="8"/>
        <v>Isha</v>
      </c>
    </row>
    <row r="144" spans="1:26" x14ac:dyDescent="0.3">
      <c r="A144" t="s">
        <v>163</v>
      </c>
      <c r="B144" s="1">
        <v>45835</v>
      </c>
      <c r="C144" t="s">
        <v>347</v>
      </c>
      <c r="D144" t="s">
        <v>400</v>
      </c>
      <c r="E144" t="s">
        <v>459</v>
      </c>
      <c r="F144" t="s">
        <v>481</v>
      </c>
      <c r="G144">
        <v>26</v>
      </c>
      <c r="H144" t="s">
        <v>486</v>
      </c>
      <c r="I144" t="s">
        <v>497</v>
      </c>
      <c r="J144" t="s">
        <v>504</v>
      </c>
      <c r="K144" t="s">
        <v>516</v>
      </c>
      <c r="L144">
        <v>1</v>
      </c>
      <c r="M144">
        <v>848.48</v>
      </c>
      <c r="N144">
        <v>0</v>
      </c>
      <c r="O144">
        <v>848.48</v>
      </c>
      <c r="P144">
        <v>658.88</v>
      </c>
      <c r="Q144">
        <v>189.6</v>
      </c>
      <c r="R144" t="s">
        <v>528</v>
      </c>
      <c r="S144" t="s">
        <v>536</v>
      </c>
      <c r="T144" t="s">
        <v>538</v>
      </c>
      <c r="U144">
        <v>5</v>
      </c>
      <c r="V144">
        <v>2025</v>
      </c>
      <c r="W144" s="2" t="str">
        <f t="shared" si="6"/>
        <v>Jun</v>
      </c>
      <c r="X144">
        <f t="shared" si="7"/>
        <v>0.22345841976239864</v>
      </c>
      <c r="Y144" t="str">
        <f>UPPER(Table1[[#This Row],[CustomerName]])</f>
        <v>ISHAAN PATEL</v>
      </c>
      <c r="Z144" t="str">
        <f t="shared" si="8"/>
        <v>Ishaan</v>
      </c>
    </row>
    <row r="145" spans="1:26" x14ac:dyDescent="0.3">
      <c r="A145" t="s">
        <v>164</v>
      </c>
      <c r="B145" s="1">
        <v>45930</v>
      </c>
      <c r="C145" t="s">
        <v>277</v>
      </c>
      <c r="D145" t="s">
        <v>405</v>
      </c>
      <c r="E145" t="s">
        <v>464</v>
      </c>
      <c r="F145" t="s">
        <v>482</v>
      </c>
      <c r="G145">
        <v>39</v>
      </c>
      <c r="H145" t="s">
        <v>484</v>
      </c>
      <c r="I145" t="s">
        <v>488</v>
      </c>
      <c r="J145" t="s">
        <v>505</v>
      </c>
      <c r="K145" t="s">
        <v>518</v>
      </c>
      <c r="L145">
        <v>4</v>
      </c>
      <c r="M145">
        <v>56370.37</v>
      </c>
      <c r="N145">
        <v>0.15</v>
      </c>
      <c r="O145">
        <v>191659.26</v>
      </c>
      <c r="P145">
        <v>135161.31</v>
      </c>
      <c r="Q145">
        <v>56497.95</v>
      </c>
      <c r="R145" t="s">
        <v>530</v>
      </c>
      <c r="S145" t="s">
        <v>536</v>
      </c>
      <c r="T145" t="s">
        <v>538</v>
      </c>
      <c r="U145">
        <v>5</v>
      </c>
      <c r="V145">
        <v>2025</v>
      </c>
      <c r="W145" s="2" t="str">
        <f t="shared" si="6"/>
        <v>Sep</v>
      </c>
      <c r="X145">
        <f t="shared" si="7"/>
        <v>0.29478330449569717</v>
      </c>
      <c r="Y145" t="str">
        <f>UPPER(Table1[[#This Row],[CustomerName]])</f>
        <v>DEV SHAH</v>
      </c>
      <c r="Z145" t="str">
        <f t="shared" si="8"/>
        <v>Dev</v>
      </c>
    </row>
    <row r="146" spans="1:26" x14ac:dyDescent="0.3">
      <c r="A146" t="s">
        <v>165</v>
      </c>
      <c r="B146" s="1">
        <v>45664</v>
      </c>
      <c r="C146" t="s">
        <v>294</v>
      </c>
      <c r="D146" t="s">
        <v>388</v>
      </c>
      <c r="E146" t="s">
        <v>447</v>
      </c>
      <c r="F146" t="s">
        <v>482</v>
      </c>
      <c r="G146">
        <v>43</v>
      </c>
      <c r="H146" t="s">
        <v>486</v>
      </c>
      <c r="I146" t="s">
        <v>500</v>
      </c>
      <c r="J146" t="s">
        <v>502</v>
      </c>
      <c r="K146" t="s">
        <v>507</v>
      </c>
      <c r="L146">
        <v>5</v>
      </c>
      <c r="M146">
        <v>2749.41</v>
      </c>
      <c r="N146">
        <v>0.1</v>
      </c>
      <c r="O146">
        <v>12372.34</v>
      </c>
      <c r="P146">
        <v>7698.15</v>
      </c>
      <c r="Q146">
        <v>4674.1899999999996</v>
      </c>
      <c r="R146" t="s">
        <v>531</v>
      </c>
      <c r="S146" t="s">
        <v>537</v>
      </c>
      <c r="T146" t="s">
        <v>538</v>
      </c>
      <c r="U146">
        <v>3</v>
      </c>
      <c r="V146">
        <v>2025</v>
      </c>
      <c r="W146" s="2" t="str">
        <f t="shared" si="6"/>
        <v>Jan</v>
      </c>
      <c r="X146">
        <f t="shared" si="7"/>
        <v>0.37779352976074043</v>
      </c>
      <c r="Y146" t="str">
        <f>UPPER(Table1[[#This Row],[CustomerName]])</f>
        <v>ARJUN SHAH</v>
      </c>
      <c r="Z146" t="str">
        <f t="shared" si="8"/>
        <v>Arjun</v>
      </c>
    </row>
    <row r="147" spans="1:26" x14ac:dyDescent="0.3">
      <c r="A147" t="s">
        <v>166</v>
      </c>
      <c r="B147" s="1">
        <v>45806</v>
      </c>
      <c r="C147" t="s">
        <v>325</v>
      </c>
      <c r="D147" t="s">
        <v>418</v>
      </c>
      <c r="E147" t="s">
        <v>477</v>
      </c>
      <c r="F147" t="s">
        <v>482</v>
      </c>
      <c r="G147">
        <v>52</v>
      </c>
      <c r="H147" t="s">
        <v>486</v>
      </c>
      <c r="I147" t="s">
        <v>500</v>
      </c>
      <c r="J147" t="s">
        <v>505</v>
      </c>
      <c r="K147" t="s">
        <v>520</v>
      </c>
      <c r="L147">
        <v>5</v>
      </c>
      <c r="M147">
        <v>2386.08</v>
      </c>
      <c r="N147">
        <v>0.1</v>
      </c>
      <c r="O147">
        <v>10737.36</v>
      </c>
      <c r="P147">
        <v>8448.81</v>
      </c>
      <c r="Q147">
        <v>2288.5500000000002</v>
      </c>
      <c r="R147" t="s">
        <v>530</v>
      </c>
      <c r="S147" t="s">
        <v>535</v>
      </c>
      <c r="T147" t="s">
        <v>540</v>
      </c>
      <c r="U147">
        <v>3</v>
      </c>
      <c r="V147">
        <v>2025</v>
      </c>
      <c r="W147" s="2" t="str">
        <f t="shared" si="6"/>
        <v>May</v>
      </c>
      <c r="X147">
        <f t="shared" si="7"/>
        <v>0.21313898388430677</v>
      </c>
      <c r="Y147" t="str">
        <f>UPPER(Table1[[#This Row],[CustomerName]])</f>
        <v>MANAV PATEL</v>
      </c>
      <c r="Z147" t="str">
        <f t="shared" si="8"/>
        <v>Manav</v>
      </c>
    </row>
    <row r="148" spans="1:26" x14ac:dyDescent="0.3">
      <c r="A148" t="s">
        <v>167</v>
      </c>
      <c r="B148" s="1">
        <v>45821</v>
      </c>
      <c r="C148" t="s">
        <v>272</v>
      </c>
      <c r="D148" t="s">
        <v>419</v>
      </c>
      <c r="E148" t="s">
        <v>478</v>
      </c>
      <c r="F148" t="s">
        <v>481</v>
      </c>
      <c r="G148">
        <v>54</v>
      </c>
      <c r="H148" t="s">
        <v>486</v>
      </c>
      <c r="I148" t="s">
        <v>500</v>
      </c>
      <c r="J148" t="s">
        <v>505</v>
      </c>
      <c r="K148" t="s">
        <v>520</v>
      </c>
      <c r="L148">
        <v>5</v>
      </c>
      <c r="M148">
        <v>2637.74</v>
      </c>
      <c r="N148">
        <v>0.1</v>
      </c>
      <c r="O148">
        <v>11869.83</v>
      </c>
      <c r="P148">
        <v>8518.36</v>
      </c>
      <c r="Q148">
        <v>3351.47</v>
      </c>
      <c r="R148" t="s">
        <v>527</v>
      </c>
      <c r="S148" t="s">
        <v>533</v>
      </c>
      <c r="T148" t="s">
        <v>538</v>
      </c>
      <c r="U148">
        <v>5</v>
      </c>
      <c r="V148">
        <v>2025</v>
      </c>
      <c r="W148" s="2" t="str">
        <f t="shared" si="6"/>
        <v>Jun</v>
      </c>
      <c r="X148">
        <f t="shared" si="7"/>
        <v>0.28235197976719129</v>
      </c>
      <c r="Y148" t="str">
        <f>UPPER(Table1[[#This Row],[CustomerName]])</f>
        <v>VIVAAN SHAH</v>
      </c>
      <c r="Z148" t="str">
        <f t="shared" si="8"/>
        <v>Vivaan</v>
      </c>
    </row>
    <row r="149" spans="1:26" x14ac:dyDescent="0.3">
      <c r="A149" t="s">
        <v>168</v>
      </c>
      <c r="B149" s="1">
        <v>45884</v>
      </c>
      <c r="C149" t="s">
        <v>348</v>
      </c>
      <c r="D149" t="s">
        <v>405</v>
      </c>
      <c r="E149" t="s">
        <v>464</v>
      </c>
      <c r="F149" t="s">
        <v>482</v>
      </c>
      <c r="G149">
        <v>39</v>
      </c>
      <c r="H149" t="s">
        <v>484</v>
      </c>
      <c r="I149" t="s">
        <v>488</v>
      </c>
      <c r="J149" t="s">
        <v>503</v>
      </c>
      <c r="K149" t="s">
        <v>512</v>
      </c>
      <c r="L149">
        <v>2</v>
      </c>
      <c r="M149">
        <v>6796.42</v>
      </c>
      <c r="N149">
        <v>0.1</v>
      </c>
      <c r="O149">
        <v>12233.56</v>
      </c>
      <c r="P149">
        <v>7910.57</v>
      </c>
      <c r="Q149">
        <v>4322.99</v>
      </c>
      <c r="R149" t="s">
        <v>529</v>
      </c>
      <c r="S149" t="s">
        <v>532</v>
      </c>
      <c r="T149" t="s">
        <v>539</v>
      </c>
      <c r="U149">
        <v>5</v>
      </c>
      <c r="V149">
        <v>2025</v>
      </c>
      <c r="W149" s="2" t="str">
        <f t="shared" si="6"/>
        <v>Aug</v>
      </c>
      <c r="X149">
        <f t="shared" si="7"/>
        <v>0.35337138167467197</v>
      </c>
      <c r="Y149" t="str">
        <f>UPPER(Table1[[#This Row],[CustomerName]])</f>
        <v>DEV SHAH</v>
      </c>
      <c r="Z149" t="str">
        <f t="shared" si="8"/>
        <v>Dev</v>
      </c>
    </row>
    <row r="150" spans="1:26" x14ac:dyDescent="0.3">
      <c r="A150" t="s">
        <v>169</v>
      </c>
      <c r="B150" s="1">
        <v>45686</v>
      </c>
      <c r="C150" t="s">
        <v>344</v>
      </c>
      <c r="D150" t="s">
        <v>410</v>
      </c>
      <c r="E150" t="s">
        <v>469</v>
      </c>
      <c r="F150" t="s">
        <v>481</v>
      </c>
      <c r="G150">
        <v>32</v>
      </c>
      <c r="H150" t="s">
        <v>485</v>
      </c>
      <c r="I150" t="s">
        <v>489</v>
      </c>
      <c r="J150" t="s">
        <v>504</v>
      </c>
      <c r="K150" t="s">
        <v>511</v>
      </c>
      <c r="L150">
        <v>4</v>
      </c>
      <c r="M150">
        <v>261.25</v>
      </c>
      <c r="N150">
        <v>0.08</v>
      </c>
      <c r="O150">
        <v>961.4</v>
      </c>
      <c r="P150">
        <v>718.59</v>
      </c>
      <c r="Q150">
        <v>242.81</v>
      </c>
      <c r="R150" t="s">
        <v>531</v>
      </c>
      <c r="S150" t="s">
        <v>534</v>
      </c>
      <c r="T150" t="s">
        <v>538</v>
      </c>
      <c r="U150">
        <v>4</v>
      </c>
      <c r="V150">
        <v>2025</v>
      </c>
      <c r="W150" s="2" t="str">
        <f t="shared" si="6"/>
        <v>Jan</v>
      </c>
      <c r="X150">
        <f t="shared" si="7"/>
        <v>0.25255876846265862</v>
      </c>
      <c r="Y150" t="str">
        <f>UPPER(Table1[[#This Row],[CustomerName]])</f>
        <v>ISHA SHAH</v>
      </c>
      <c r="Z150" t="str">
        <f t="shared" si="8"/>
        <v>Isha</v>
      </c>
    </row>
    <row r="151" spans="1:26" x14ac:dyDescent="0.3">
      <c r="A151" t="s">
        <v>170</v>
      </c>
      <c r="B151" s="1">
        <v>46000</v>
      </c>
      <c r="C151" t="s">
        <v>288</v>
      </c>
      <c r="D151" t="s">
        <v>380</v>
      </c>
      <c r="E151" t="s">
        <v>439</v>
      </c>
      <c r="F151" t="s">
        <v>482</v>
      </c>
      <c r="G151">
        <v>59</v>
      </c>
      <c r="H151" t="s">
        <v>485</v>
      </c>
      <c r="I151" t="s">
        <v>492</v>
      </c>
      <c r="J151" t="s">
        <v>505</v>
      </c>
      <c r="K151" t="s">
        <v>522</v>
      </c>
      <c r="L151">
        <v>4</v>
      </c>
      <c r="M151">
        <v>5009.78</v>
      </c>
      <c r="N151">
        <v>0.1</v>
      </c>
      <c r="O151">
        <v>18035.21</v>
      </c>
      <c r="P151">
        <v>11354.36</v>
      </c>
      <c r="Q151">
        <v>6680.85</v>
      </c>
      <c r="R151" t="s">
        <v>529</v>
      </c>
      <c r="S151" t="s">
        <v>534</v>
      </c>
      <c r="T151" t="s">
        <v>538</v>
      </c>
      <c r="U151">
        <v>5</v>
      </c>
      <c r="V151">
        <v>2025</v>
      </c>
      <c r="W151" s="2" t="str">
        <f t="shared" si="6"/>
        <v>Dec</v>
      </c>
      <c r="X151">
        <f t="shared" si="7"/>
        <v>0.37043372381025785</v>
      </c>
      <c r="Y151" t="str">
        <f>UPPER(Table1[[#This Row],[CustomerName]])</f>
        <v>DIYA PATEL</v>
      </c>
      <c r="Z151" t="str">
        <f t="shared" si="8"/>
        <v>Diya</v>
      </c>
    </row>
    <row r="152" spans="1:26" x14ac:dyDescent="0.3">
      <c r="A152" t="s">
        <v>171</v>
      </c>
      <c r="B152" s="1">
        <v>45809</v>
      </c>
      <c r="C152" t="s">
        <v>305</v>
      </c>
      <c r="D152" t="s">
        <v>388</v>
      </c>
      <c r="E152" t="s">
        <v>447</v>
      </c>
      <c r="F152" t="s">
        <v>482</v>
      </c>
      <c r="G152">
        <v>43</v>
      </c>
      <c r="H152" t="s">
        <v>486</v>
      </c>
      <c r="I152" t="s">
        <v>500</v>
      </c>
      <c r="J152" t="s">
        <v>502</v>
      </c>
      <c r="K152" t="s">
        <v>514</v>
      </c>
      <c r="L152">
        <v>2</v>
      </c>
      <c r="M152">
        <v>1490.87</v>
      </c>
      <c r="N152">
        <v>0.08</v>
      </c>
      <c r="O152">
        <v>2743.2</v>
      </c>
      <c r="P152">
        <v>1892.65</v>
      </c>
      <c r="Q152">
        <v>850.55</v>
      </c>
      <c r="R152" t="s">
        <v>528</v>
      </c>
      <c r="S152" t="s">
        <v>534</v>
      </c>
      <c r="T152" t="s">
        <v>540</v>
      </c>
      <c r="U152">
        <v>4</v>
      </c>
      <c r="V152">
        <v>2025</v>
      </c>
      <c r="W152" s="2" t="str">
        <f t="shared" si="6"/>
        <v>Jun</v>
      </c>
      <c r="X152">
        <f t="shared" si="7"/>
        <v>0.31005759696704577</v>
      </c>
      <c r="Y152" t="str">
        <f>UPPER(Table1[[#This Row],[CustomerName]])</f>
        <v>ARJUN SHAH</v>
      </c>
      <c r="Z152" t="str">
        <f t="shared" si="8"/>
        <v>Arjun</v>
      </c>
    </row>
    <row r="153" spans="1:26" x14ac:dyDescent="0.3">
      <c r="A153" t="s">
        <v>172</v>
      </c>
      <c r="B153" s="1">
        <v>45918</v>
      </c>
      <c r="C153" t="s">
        <v>279</v>
      </c>
      <c r="D153" t="s">
        <v>420</v>
      </c>
      <c r="E153" t="s">
        <v>479</v>
      </c>
      <c r="F153" t="s">
        <v>482</v>
      </c>
      <c r="G153">
        <v>41</v>
      </c>
      <c r="H153" t="s">
        <v>484</v>
      </c>
      <c r="I153" t="s">
        <v>499</v>
      </c>
      <c r="J153" t="s">
        <v>505</v>
      </c>
      <c r="K153" t="s">
        <v>510</v>
      </c>
      <c r="L153">
        <v>4</v>
      </c>
      <c r="M153">
        <v>31914.720000000001</v>
      </c>
      <c r="N153">
        <v>0</v>
      </c>
      <c r="O153">
        <v>127658.88</v>
      </c>
      <c r="P153">
        <v>104067.29</v>
      </c>
      <c r="Q153">
        <v>23591.59</v>
      </c>
      <c r="R153" t="s">
        <v>531</v>
      </c>
      <c r="S153" t="s">
        <v>534</v>
      </c>
      <c r="T153" t="s">
        <v>540</v>
      </c>
      <c r="U153">
        <v>5</v>
      </c>
      <c r="V153">
        <v>2025</v>
      </c>
      <c r="W153" s="2" t="str">
        <f t="shared" si="6"/>
        <v>Sep</v>
      </c>
      <c r="X153">
        <f t="shared" si="7"/>
        <v>0.18480179365509081</v>
      </c>
      <c r="Y153" t="str">
        <f>UPPER(Table1[[#This Row],[CustomerName]])</f>
        <v>ARJUN PATEL</v>
      </c>
      <c r="Z153" t="str">
        <f t="shared" si="8"/>
        <v>Arjun</v>
      </c>
    </row>
    <row r="154" spans="1:26" x14ac:dyDescent="0.3">
      <c r="A154" t="s">
        <v>173</v>
      </c>
      <c r="B154" s="1">
        <v>45762</v>
      </c>
      <c r="C154" t="s">
        <v>349</v>
      </c>
      <c r="D154" t="s">
        <v>397</v>
      </c>
      <c r="E154" t="s">
        <v>456</v>
      </c>
      <c r="F154" t="s">
        <v>482</v>
      </c>
      <c r="G154">
        <v>24</v>
      </c>
      <c r="H154" t="s">
        <v>485</v>
      </c>
      <c r="I154" t="s">
        <v>489</v>
      </c>
      <c r="J154" t="s">
        <v>502</v>
      </c>
      <c r="K154" t="s">
        <v>515</v>
      </c>
      <c r="L154">
        <v>2</v>
      </c>
      <c r="M154">
        <v>1748.8</v>
      </c>
      <c r="N154">
        <v>0.08</v>
      </c>
      <c r="O154">
        <v>3217.79</v>
      </c>
      <c r="P154">
        <v>2183.48</v>
      </c>
      <c r="Q154">
        <v>1034.31</v>
      </c>
      <c r="R154" t="s">
        <v>531</v>
      </c>
      <c r="S154" t="s">
        <v>537</v>
      </c>
      <c r="T154" t="s">
        <v>538</v>
      </c>
      <c r="U154">
        <v>5</v>
      </c>
      <c r="V154">
        <v>2025</v>
      </c>
      <c r="W154" s="2" t="str">
        <f t="shared" si="6"/>
        <v>Apr</v>
      </c>
      <c r="X154">
        <f t="shared" si="7"/>
        <v>0.32143489786468349</v>
      </c>
      <c r="Y154" t="str">
        <f>UPPER(Table1[[#This Row],[CustomerName]])</f>
        <v>HARSH PATEL</v>
      </c>
      <c r="Z154" t="str">
        <f t="shared" si="8"/>
        <v>Harsh</v>
      </c>
    </row>
    <row r="155" spans="1:26" x14ac:dyDescent="0.3">
      <c r="A155" t="s">
        <v>174</v>
      </c>
      <c r="B155" s="1">
        <v>45945</v>
      </c>
      <c r="C155" t="s">
        <v>343</v>
      </c>
      <c r="D155" t="s">
        <v>378</v>
      </c>
      <c r="E155" t="s">
        <v>437</v>
      </c>
      <c r="F155" t="s">
        <v>482</v>
      </c>
      <c r="G155">
        <v>57</v>
      </c>
      <c r="H155" t="s">
        <v>485</v>
      </c>
      <c r="I155" t="s">
        <v>492</v>
      </c>
      <c r="J155" t="s">
        <v>505</v>
      </c>
      <c r="K155" t="s">
        <v>520</v>
      </c>
      <c r="L155">
        <v>1</v>
      </c>
      <c r="M155">
        <v>2671.23</v>
      </c>
      <c r="N155">
        <v>0</v>
      </c>
      <c r="O155">
        <v>2671.23</v>
      </c>
      <c r="P155">
        <v>1854.99</v>
      </c>
      <c r="Q155">
        <v>816.24</v>
      </c>
      <c r="R155" t="s">
        <v>528</v>
      </c>
      <c r="S155" t="s">
        <v>537</v>
      </c>
      <c r="T155" t="s">
        <v>538</v>
      </c>
      <c r="U155">
        <v>5</v>
      </c>
      <c r="V155">
        <v>2025</v>
      </c>
      <c r="W155" s="2" t="str">
        <f t="shared" si="6"/>
        <v>Oct</v>
      </c>
      <c r="X155">
        <f t="shared" si="7"/>
        <v>0.30556709830302892</v>
      </c>
      <c r="Y155" t="str">
        <f>UPPER(Table1[[#This Row],[CustomerName]])</f>
        <v>ANAYA PATEL</v>
      </c>
      <c r="Z155" t="str">
        <f t="shared" si="8"/>
        <v>Anaya</v>
      </c>
    </row>
    <row r="156" spans="1:26" x14ac:dyDescent="0.3">
      <c r="A156" t="s">
        <v>175</v>
      </c>
      <c r="B156" s="1">
        <v>45870</v>
      </c>
      <c r="C156" t="s">
        <v>317</v>
      </c>
      <c r="D156" t="s">
        <v>372</v>
      </c>
      <c r="E156" t="s">
        <v>431</v>
      </c>
      <c r="F156" t="s">
        <v>482</v>
      </c>
      <c r="G156">
        <v>41</v>
      </c>
      <c r="H156" t="s">
        <v>485</v>
      </c>
      <c r="I156" t="s">
        <v>492</v>
      </c>
      <c r="J156" t="s">
        <v>502</v>
      </c>
      <c r="K156" t="s">
        <v>513</v>
      </c>
      <c r="L156">
        <v>5</v>
      </c>
      <c r="M156">
        <v>869.17</v>
      </c>
      <c r="N156">
        <v>0.15</v>
      </c>
      <c r="O156">
        <v>3693.97</v>
      </c>
      <c r="P156">
        <v>2926.64</v>
      </c>
      <c r="Q156">
        <v>767.33</v>
      </c>
      <c r="R156" t="s">
        <v>529</v>
      </c>
      <c r="S156" t="s">
        <v>536</v>
      </c>
      <c r="T156" t="s">
        <v>539</v>
      </c>
      <c r="U156">
        <v>4</v>
      </c>
      <c r="V156">
        <v>2025</v>
      </c>
      <c r="W156" s="2" t="str">
        <f t="shared" si="6"/>
        <v>Aug</v>
      </c>
      <c r="X156">
        <f t="shared" si="7"/>
        <v>0.2077250221306616</v>
      </c>
      <c r="Y156" t="str">
        <f>UPPER(Table1[[#This Row],[CustomerName]])</f>
        <v>MAHI PATEL</v>
      </c>
      <c r="Z156" t="str">
        <f t="shared" si="8"/>
        <v>Mahi</v>
      </c>
    </row>
    <row r="157" spans="1:26" x14ac:dyDescent="0.3">
      <c r="A157" t="s">
        <v>176</v>
      </c>
      <c r="B157" s="1">
        <v>45806</v>
      </c>
      <c r="C157" t="s">
        <v>304</v>
      </c>
      <c r="D157" t="s">
        <v>387</v>
      </c>
      <c r="E157" t="s">
        <v>446</v>
      </c>
      <c r="F157" t="s">
        <v>482</v>
      </c>
      <c r="G157">
        <v>19</v>
      </c>
      <c r="H157" t="s">
        <v>485</v>
      </c>
      <c r="I157" t="s">
        <v>492</v>
      </c>
      <c r="J157" t="s">
        <v>506</v>
      </c>
      <c r="K157" t="s">
        <v>519</v>
      </c>
      <c r="L157">
        <v>4</v>
      </c>
      <c r="M157">
        <v>1114.3399999999999</v>
      </c>
      <c r="N157">
        <v>0.15</v>
      </c>
      <c r="O157">
        <v>3788.76</v>
      </c>
      <c r="P157">
        <v>2919.76</v>
      </c>
      <c r="Q157">
        <v>869</v>
      </c>
      <c r="R157" t="s">
        <v>529</v>
      </c>
      <c r="S157" t="s">
        <v>537</v>
      </c>
      <c r="T157" t="s">
        <v>538</v>
      </c>
      <c r="U157">
        <v>5</v>
      </c>
      <c r="V157">
        <v>2025</v>
      </c>
      <c r="W157" s="2" t="str">
        <f t="shared" si="6"/>
        <v>May</v>
      </c>
      <c r="X157">
        <f t="shared" si="7"/>
        <v>0.22936264107518026</v>
      </c>
      <c r="Y157" t="str">
        <f>UPPER(Table1[[#This Row],[CustomerName]])</f>
        <v>ARYAN PATEL</v>
      </c>
      <c r="Z157" t="str">
        <f t="shared" si="8"/>
        <v>Aryan</v>
      </c>
    </row>
    <row r="158" spans="1:26" x14ac:dyDescent="0.3">
      <c r="A158" t="s">
        <v>177</v>
      </c>
      <c r="B158" s="1">
        <v>45686</v>
      </c>
      <c r="C158" t="s">
        <v>277</v>
      </c>
      <c r="D158" t="s">
        <v>367</v>
      </c>
      <c r="E158" t="s">
        <v>426</v>
      </c>
      <c r="F158" t="s">
        <v>482</v>
      </c>
      <c r="G158">
        <v>56</v>
      </c>
      <c r="H158" t="s">
        <v>483</v>
      </c>
      <c r="I158" t="s">
        <v>490</v>
      </c>
      <c r="J158" t="s">
        <v>505</v>
      </c>
      <c r="K158" t="s">
        <v>510</v>
      </c>
      <c r="L158">
        <v>3</v>
      </c>
      <c r="M158">
        <v>28323.25</v>
      </c>
      <c r="N158">
        <v>0.08</v>
      </c>
      <c r="O158">
        <v>78172.17</v>
      </c>
      <c r="P158">
        <v>59923.68</v>
      </c>
      <c r="Q158">
        <v>18248.490000000002</v>
      </c>
      <c r="R158" t="s">
        <v>528</v>
      </c>
      <c r="S158" t="s">
        <v>535</v>
      </c>
      <c r="T158" t="s">
        <v>538</v>
      </c>
      <c r="U158">
        <v>4</v>
      </c>
      <c r="V158">
        <v>2025</v>
      </c>
      <c r="W158" s="2" t="str">
        <f t="shared" si="6"/>
        <v>Jan</v>
      </c>
      <c r="X158">
        <f t="shared" si="7"/>
        <v>0.23343972669557467</v>
      </c>
      <c r="Y158" t="str">
        <f>UPPER(Table1[[#This Row],[CustomerName]])</f>
        <v>VIVAAN PATEL</v>
      </c>
      <c r="Z158" t="str">
        <f t="shared" si="8"/>
        <v>Vivaan</v>
      </c>
    </row>
    <row r="159" spans="1:26" x14ac:dyDescent="0.3">
      <c r="A159" t="s">
        <v>178</v>
      </c>
      <c r="B159" s="1">
        <v>45676</v>
      </c>
      <c r="C159" t="s">
        <v>330</v>
      </c>
      <c r="D159" t="s">
        <v>385</v>
      </c>
      <c r="E159" t="s">
        <v>444</v>
      </c>
      <c r="F159" t="s">
        <v>481</v>
      </c>
      <c r="G159">
        <v>19</v>
      </c>
      <c r="H159" t="s">
        <v>483</v>
      </c>
      <c r="I159" t="s">
        <v>493</v>
      </c>
      <c r="J159" t="s">
        <v>505</v>
      </c>
      <c r="K159" t="s">
        <v>522</v>
      </c>
      <c r="L159">
        <v>1</v>
      </c>
      <c r="M159">
        <v>5208.8999999999996</v>
      </c>
      <c r="N159">
        <v>0.02</v>
      </c>
      <c r="O159">
        <v>5104.72</v>
      </c>
      <c r="P159">
        <v>3734.66</v>
      </c>
      <c r="Q159">
        <v>1370.06</v>
      </c>
      <c r="R159" t="s">
        <v>529</v>
      </c>
      <c r="S159" t="s">
        <v>536</v>
      </c>
      <c r="T159" t="s">
        <v>538</v>
      </c>
      <c r="U159">
        <v>5</v>
      </c>
      <c r="V159">
        <v>2025</v>
      </c>
      <c r="W159" s="2" t="str">
        <f t="shared" si="6"/>
        <v>Jan</v>
      </c>
      <c r="X159">
        <f t="shared" si="7"/>
        <v>0.26839082261123037</v>
      </c>
      <c r="Y159" t="str">
        <f>UPPER(Table1[[#This Row],[CustomerName]])</f>
        <v>KHUSHI SHAH</v>
      </c>
      <c r="Z159" t="str">
        <f t="shared" si="8"/>
        <v>Khushi</v>
      </c>
    </row>
    <row r="160" spans="1:26" x14ac:dyDescent="0.3">
      <c r="A160" t="s">
        <v>179</v>
      </c>
      <c r="B160" s="1">
        <v>45881</v>
      </c>
      <c r="C160" t="s">
        <v>350</v>
      </c>
      <c r="D160" t="s">
        <v>405</v>
      </c>
      <c r="E160" t="s">
        <v>464</v>
      </c>
      <c r="F160" t="s">
        <v>482</v>
      </c>
      <c r="G160">
        <v>39</v>
      </c>
      <c r="H160" t="s">
        <v>484</v>
      </c>
      <c r="I160" t="s">
        <v>488</v>
      </c>
      <c r="J160" t="s">
        <v>505</v>
      </c>
      <c r="K160" t="s">
        <v>510</v>
      </c>
      <c r="L160">
        <v>5</v>
      </c>
      <c r="M160">
        <v>31118.74</v>
      </c>
      <c r="N160">
        <v>0.05</v>
      </c>
      <c r="O160">
        <v>147814.01999999999</v>
      </c>
      <c r="P160">
        <v>97203.23</v>
      </c>
      <c r="Q160">
        <v>50610.79</v>
      </c>
      <c r="R160" t="s">
        <v>529</v>
      </c>
      <c r="S160" t="s">
        <v>535</v>
      </c>
      <c r="T160" t="s">
        <v>538</v>
      </c>
      <c r="U160">
        <v>4</v>
      </c>
      <c r="V160">
        <v>2025</v>
      </c>
      <c r="W160" s="2" t="str">
        <f t="shared" si="6"/>
        <v>Aug</v>
      </c>
      <c r="X160">
        <f t="shared" si="7"/>
        <v>0.34239505833073214</v>
      </c>
      <c r="Y160" t="str">
        <f>UPPER(Table1[[#This Row],[CustomerName]])</f>
        <v>DEV SHAH</v>
      </c>
      <c r="Z160" t="str">
        <f t="shared" si="8"/>
        <v>Dev</v>
      </c>
    </row>
    <row r="161" spans="1:26" x14ac:dyDescent="0.3">
      <c r="A161" t="s">
        <v>180</v>
      </c>
      <c r="B161" s="1">
        <v>45747</v>
      </c>
      <c r="C161" t="s">
        <v>281</v>
      </c>
      <c r="D161" t="s">
        <v>409</v>
      </c>
      <c r="E161" t="s">
        <v>468</v>
      </c>
      <c r="F161" t="s">
        <v>482</v>
      </c>
      <c r="G161">
        <v>37</v>
      </c>
      <c r="H161" t="s">
        <v>483</v>
      </c>
      <c r="I161" t="s">
        <v>487</v>
      </c>
      <c r="J161" t="s">
        <v>504</v>
      </c>
      <c r="K161" t="s">
        <v>517</v>
      </c>
      <c r="L161">
        <v>1</v>
      </c>
      <c r="M161">
        <v>321.99</v>
      </c>
      <c r="N161">
        <v>0</v>
      </c>
      <c r="O161">
        <v>321.99</v>
      </c>
      <c r="P161">
        <v>243.32</v>
      </c>
      <c r="Q161">
        <v>78.67</v>
      </c>
      <c r="R161" t="s">
        <v>528</v>
      </c>
      <c r="S161" t="s">
        <v>537</v>
      </c>
      <c r="T161" t="s">
        <v>539</v>
      </c>
      <c r="U161">
        <v>5</v>
      </c>
      <c r="V161">
        <v>2025</v>
      </c>
      <c r="W161" s="2" t="str">
        <f t="shared" si="6"/>
        <v>Mar</v>
      </c>
      <c r="X161">
        <f t="shared" si="7"/>
        <v>0.24432435789931364</v>
      </c>
      <c r="Y161" t="str">
        <f>UPPER(Table1[[#This Row],[CustomerName]])</f>
        <v>KABIR SHAH</v>
      </c>
      <c r="Z161" t="str">
        <f t="shared" si="8"/>
        <v>Kabir</v>
      </c>
    </row>
    <row r="162" spans="1:26" x14ac:dyDescent="0.3">
      <c r="A162" t="s">
        <v>181</v>
      </c>
      <c r="B162" s="1">
        <v>45768</v>
      </c>
      <c r="C162" t="s">
        <v>271</v>
      </c>
      <c r="D162" t="s">
        <v>415</v>
      </c>
      <c r="E162" t="s">
        <v>474</v>
      </c>
      <c r="F162" t="s">
        <v>481</v>
      </c>
      <c r="G162">
        <v>41</v>
      </c>
      <c r="H162" t="s">
        <v>485</v>
      </c>
      <c r="I162" t="s">
        <v>489</v>
      </c>
      <c r="J162" t="s">
        <v>506</v>
      </c>
      <c r="K162" t="s">
        <v>524</v>
      </c>
      <c r="L162">
        <v>3</v>
      </c>
      <c r="M162">
        <v>518.13</v>
      </c>
      <c r="N162">
        <v>0.15</v>
      </c>
      <c r="O162">
        <v>1321.23</v>
      </c>
      <c r="P162">
        <v>928.2</v>
      </c>
      <c r="Q162">
        <v>393.03</v>
      </c>
      <c r="R162" t="s">
        <v>530</v>
      </c>
      <c r="S162" t="s">
        <v>533</v>
      </c>
      <c r="T162" t="s">
        <v>538</v>
      </c>
      <c r="U162">
        <v>4</v>
      </c>
      <c r="V162">
        <v>2025</v>
      </c>
      <c r="W162" s="2" t="str">
        <f t="shared" si="6"/>
        <v>Apr</v>
      </c>
      <c r="X162">
        <f t="shared" si="7"/>
        <v>0.29747280942757881</v>
      </c>
      <c r="Y162" t="str">
        <f>UPPER(Table1[[#This Row],[CustomerName]])</f>
        <v>KRISH PATEL</v>
      </c>
      <c r="Z162" t="str">
        <f t="shared" si="8"/>
        <v>Krish</v>
      </c>
    </row>
    <row r="163" spans="1:26" x14ac:dyDescent="0.3">
      <c r="A163" t="s">
        <v>182</v>
      </c>
      <c r="B163" s="1">
        <v>45677</v>
      </c>
      <c r="C163" t="s">
        <v>351</v>
      </c>
      <c r="D163" t="s">
        <v>402</v>
      </c>
      <c r="E163" t="s">
        <v>461</v>
      </c>
      <c r="F163" t="s">
        <v>482</v>
      </c>
      <c r="G163">
        <v>55</v>
      </c>
      <c r="H163" t="s">
        <v>485</v>
      </c>
      <c r="I163" t="s">
        <v>498</v>
      </c>
      <c r="J163" t="s">
        <v>504</v>
      </c>
      <c r="K163" t="s">
        <v>509</v>
      </c>
      <c r="L163">
        <v>3</v>
      </c>
      <c r="M163">
        <v>418.67</v>
      </c>
      <c r="N163">
        <v>0.02</v>
      </c>
      <c r="O163">
        <v>1230.8900000000001</v>
      </c>
      <c r="P163">
        <v>901.38</v>
      </c>
      <c r="Q163">
        <v>329.51</v>
      </c>
      <c r="R163" t="s">
        <v>527</v>
      </c>
      <c r="S163" t="s">
        <v>537</v>
      </c>
      <c r="T163" t="s">
        <v>538</v>
      </c>
      <c r="U163">
        <v>4</v>
      </c>
      <c r="V163">
        <v>2025</v>
      </c>
      <c r="W163" s="2" t="str">
        <f t="shared" si="6"/>
        <v>Jan</v>
      </c>
      <c r="X163">
        <f t="shared" si="7"/>
        <v>0.26770060687795005</v>
      </c>
      <c r="Y163" t="str">
        <f>UPPER(Table1[[#This Row],[CustomerName]])</f>
        <v>POOJA SHAH</v>
      </c>
      <c r="Z163" t="str">
        <f t="shared" si="8"/>
        <v>Pooja</v>
      </c>
    </row>
    <row r="164" spans="1:26" x14ac:dyDescent="0.3">
      <c r="A164" t="s">
        <v>183</v>
      </c>
      <c r="B164" s="1">
        <v>45816</v>
      </c>
      <c r="C164" t="s">
        <v>301</v>
      </c>
      <c r="D164" t="s">
        <v>369</v>
      </c>
      <c r="E164" t="s">
        <v>428</v>
      </c>
      <c r="F164" t="s">
        <v>482</v>
      </c>
      <c r="G164">
        <v>53</v>
      </c>
      <c r="H164" t="s">
        <v>485</v>
      </c>
      <c r="I164" t="s">
        <v>492</v>
      </c>
      <c r="J164" t="s">
        <v>503</v>
      </c>
      <c r="K164" t="s">
        <v>521</v>
      </c>
      <c r="L164">
        <v>3</v>
      </c>
      <c r="M164">
        <v>8364.31</v>
      </c>
      <c r="N164">
        <v>0.1</v>
      </c>
      <c r="O164">
        <v>22583.64</v>
      </c>
      <c r="P164">
        <v>17371</v>
      </c>
      <c r="Q164">
        <v>5212.6400000000003</v>
      </c>
      <c r="R164" t="s">
        <v>531</v>
      </c>
      <c r="S164" t="s">
        <v>537</v>
      </c>
      <c r="T164" t="s">
        <v>540</v>
      </c>
      <c r="U164">
        <v>5</v>
      </c>
      <c r="V164">
        <v>2025</v>
      </c>
      <c r="W164" s="2" t="str">
        <f t="shared" si="6"/>
        <v>Jun</v>
      </c>
      <c r="X164">
        <f t="shared" si="7"/>
        <v>0.23081487306740633</v>
      </c>
      <c r="Y164" t="str">
        <f>UPPER(Table1[[#This Row],[CustomerName]])</f>
        <v>RIYA PATEL</v>
      </c>
      <c r="Z164" t="str">
        <f t="shared" si="8"/>
        <v>Riya</v>
      </c>
    </row>
    <row r="165" spans="1:26" x14ac:dyDescent="0.3">
      <c r="A165" t="s">
        <v>184</v>
      </c>
      <c r="B165" s="1">
        <v>45830</v>
      </c>
      <c r="C165" t="s">
        <v>282</v>
      </c>
      <c r="D165" t="s">
        <v>369</v>
      </c>
      <c r="E165" t="s">
        <v>428</v>
      </c>
      <c r="F165" t="s">
        <v>482</v>
      </c>
      <c r="G165">
        <v>53</v>
      </c>
      <c r="H165" t="s">
        <v>485</v>
      </c>
      <c r="I165" t="s">
        <v>492</v>
      </c>
      <c r="J165" t="s">
        <v>503</v>
      </c>
      <c r="K165" t="s">
        <v>521</v>
      </c>
      <c r="L165">
        <v>1</v>
      </c>
      <c r="M165">
        <v>8407.58</v>
      </c>
      <c r="N165">
        <v>0.08</v>
      </c>
      <c r="O165">
        <v>7734.97</v>
      </c>
      <c r="P165">
        <v>4892.43</v>
      </c>
      <c r="Q165">
        <v>2842.54</v>
      </c>
      <c r="R165" t="s">
        <v>527</v>
      </c>
      <c r="S165" t="s">
        <v>534</v>
      </c>
      <c r="T165" t="s">
        <v>538</v>
      </c>
      <c r="U165">
        <v>5</v>
      </c>
      <c r="V165">
        <v>2025</v>
      </c>
      <c r="W165" s="2" t="str">
        <f t="shared" si="6"/>
        <v>Jun</v>
      </c>
      <c r="X165">
        <f t="shared" si="7"/>
        <v>0.36749205232858045</v>
      </c>
      <c r="Y165" t="str">
        <f>UPPER(Table1[[#This Row],[CustomerName]])</f>
        <v>RIYA PATEL</v>
      </c>
      <c r="Z165" t="str">
        <f t="shared" si="8"/>
        <v>Riya</v>
      </c>
    </row>
    <row r="166" spans="1:26" x14ac:dyDescent="0.3">
      <c r="A166" t="s">
        <v>185</v>
      </c>
      <c r="B166" s="1">
        <v>45958</v>
      </c>
      <c r="C166" t="s">
        <v>334</v>
      </c>
      <c r="D166" t="s">
        <v>385</v>
      </c>
      <c r="E166" t="s">
        <v>444</v>
      </c>
      <c r="F166" t="s">
        <v>481</v>
      </c>
      <c r="G166">
        <v>19</v>
      </c>
      <c r="H166" t="s">
        <v>483</v>
      </c>
      <c r="I166" t="s">
        <v>493</v>
      </c>
      <c r="J166" t="s">
        <v>502</v>
      </c>
      <c r="K166" t="s">
        <v>514</v>
      </c>
      <c r="L166">
        <v>3</v>
      </c>
      <c r="M166">
        <v>1544.62</v>
      </c>
      <c r="N166">
        <v>0.15</v>
      </c>
      <c r="O166">
        <v>3938.78</v>
      </c>
      <c r="P166">
        <v>3030.67</v>
      </c>
      <c r="Q166">
        <v>908.11</v>
      </c>
      <c r="R166" t="s">
        <v>529</v>
      </c>
      <c r="S166" t="s">
        <v>533</v>
      </c>
      <c r="T166" t="s">
        <v>538</v>
      </c>
      <c r="U166">
        <v>4</v>
      </c>
      <c r="V166">
        <v>2025</v>
      </c>
      <c r="W166" s="2" t="str">
        <f t="shared" si="6"/>
        <v>Oct</v>
      </c>
      <c r="X166">
        <f t="shared" si="7"/>
        <v>0.23055616206033339</v>
      </c>
      <c r="Y166" t="str">
        <f>UPPER(Table1[[#This Row],[CustomerName]])</f>
        <v>KHUSHI SHAH</v>
      </c>
      <c r="Z166" t="str">
        <f t="shared" si="8"/>
        <v>Khushi</v>
      </c>
    </row>
    <row r="167" spans="1:26" x14ac:dyDescent="0.3">
      <c r="A167" t="s">
        <v>186</v>
      </c>
      <c r="B167" s="1">
        <v>45707</v>
      </c>
      <c r="C167" t="s">
        <v>297</v>
      </c>
      <c r="D167" t="s">
        <v>383</v>
      </c>
      <c r="E167" t="s">
        <v>442</v>
      </c>
      <c r="F167" t="s">
        <v>481</v>
      </c>
      <c r="G167">
        <v>20</v>
      </c>
      <c r="H167" t="s">
        <v>484</v>
      </c>
      <c r="I167" t="s">
        <v>499</v>
      </c>
      <c r="J167" t="s">
        <v>506</v>
      </c>
      <c r="K167" t="s">
        <v>524</v>
      </c>
      <c r="L167">
        <v>5</v>
      </c>
      <c r="M167">
        <v>567.4</v>
      </c>
      <c r="N167">
        <v>0.05</v>
      </c>
      <c r="O167">
        <v>2695.15</v>
      </c>
      <c r="P167">
        <v>1832.02</v>
      </c>
      <c r="Q167">
        <v>863.13</v>
      </c>
      <c r="R167" t="s">
        <v>530</v>
      </c>
      <c r="S167" t="s">
        <v>534</v>
      </c>
      <c r="T167" t="s">
        <v>540</v>
      </c>
      <c r="U167">
        <v>4</v>
      </c>
      <c r="V167">
        <v>2025</v>
      </c>
      <c r="W167" s="2" t="str">
        <f t="shared" si="6"/>
        <v>Feb</v>
      </c>
      <c r="X167">
        <f t="shared" si="7"/>
        <v>0.32025304714023339</v>
      </c>
      <c r="Y167" t="str">
        <f>UPPER(Table1[[#This Row],[CustomerName]])</f>
        <v>DEV PATEL</v>
      </c>
      <c r="Z167" t="str">
        <f t="shared" si="8"/>
        <v>Dev</v>
      </c>
    </row>
    <row r="168" spans="1:26" x14ac:dyDescent="0.3">
      <c r="A168" t="s">
        <v>187</v>
      </c>
      <c r="B168" s="1">
        <v>45726</v>
      </c>
      <c r="C168" t="s">
        <v>319</v>
      </c>
      <c r="D168" t="s">
        <v>390</v>
      </c>
      <c r="E168" t="s">
        <v>449</v>
      </c>
      <c r="F168" t="s">
        <v>481</v>
      </c>
      <c r="G168">
        <v>54</v>
      </c>
      <c r="H168" t="s">
        <v>483</v>
      </c>
      <c r="I168" t="s">
        <v>493</v>
      </c>
      <c r="J168" t="s">
        <v>506</v>
      </c>
      <c r="K168" t="s">
        <v>524</v>
      </c>
      <c r="L168">
        <v>5</v>
      </c>
      <c r="M168">
        <v>568.13</v>
      </c>
      <c r="N168">
        <v>0.02</v>
      </c>
      <c r="O168">
        <v>2783.84</v>
      </c>
      <c r="P168">
        <v>1770.86</v>
      </c>
      <c r="Q168">
        <v>1012.98</v>
      </c>
      <c r="R168" t="s">
        <v>531</v>
      </c>
      <c r="S168" t="s">
        <v>534</v>
      </c>
      <c r="T168" t="s">
        <v>538</v>
      </c>
      <c r="U168">
        <v>5</v>
      </c>
      <c r="V168">
        <v>2025</v>
      </c>
      <c r="W168" s="2" t="str">
        <f t="shared" si="6"/>
        <v>Mar</v>
      </c>
      <c r="X168">
        <f t="shared" si="7"/>
        <v>0.36387867118799933</v>
      </c>
      <c r="Y168" t="str">
        <f>UPPER(Table1[[#This Row],[CustomerName]])</f>
        <v>KAVYA SHAH</v>
      </c>
      <c r="Z168" t="str">
        <f t="shared" si="8"/>
        <v>Kavya</v>
      </c>
    </row>
    <row r="169" spans="1:26" x14ac:dyDescent="0.3">
      <c r="A169" t="s">
        <v>188</v>
      </c>
      <c r="B169" s="1">
        <v>45954</v>
      </c>
      <c r="C169" t="s">
        <v>276</v>
      </c>
      <c r="D169" t="s">
        <v>373</v>
      </c>
      <c r="E169" t="s">
        <v>432</v>
      </c>
      <c r="F169" t="s">
        <v>481</v>
      </c>
      <c r="G169">
        <v>38</v>
      </c>
      <c r="H169" t="s">
        <v>483</v>
      </c>
      <c r="I169" t="s">
        <v>494</v>
      </c>
      <c r="J169" t="s">
        <v>502</v>
      </c>
      <c r="K169" t="s">
        <v>514</v>
      </c>
      <c r="L169">
        <v>1</v>
      </c>
      <c r="M169">
        <v>1560.33</v>
      </c>
      <c r="N169">
        <v>0</v>
      </c>
      <c r="O169">
        <v>1560.33</v>
      </c>
      <c r="P169">
        <v>1265.93</v>
      </c>
      <c r="Q169">
        <v>294.39999999999998</v>
      </c>
      <c r="R169" t="s">
        <v>527</v>
      </c>
      <c r="S169" t="s">
        <v>533</v>
      </c>
      <c r="T169" t="s">
        <v>540</v>
      </c>
      <c r="U169">
        <v>4</v>
      </c>
      <c r="V169">
        <v>2025</v>
      </c>
      <c r="W169" s="2" t="str">
        <f t="shared" si="6"/>
        <v>Oct</v>
      </c>
      <c r="X169">
        <f t="shared" si="7"/>
        <v>0.18867803605647523</v>
      </c>
      <c r="Y169" t="str">
        <f>UPPER(Table1[[#This Row],[CustomerName]])</f>
        <v>ROHAN PATEL</v>
      </c>
      <c r="Z169" t="str">
        <f t="shared" si="8"/>
        <v>Rohan</v>
      </c>
    </row>
    <row r="170" spans="1:26" x14ac:dyDescent="0.3">
      <c r="A170" t="s">
        <v>189</v>
      </c>
      <c r="B170" s="1">
        <v>45877</v>
      </c>
      <c r="C170" t="s">
        <v>310</v>
      </c>
      <c r="D170" t="s">
        <v>388</v>
      </c>
      <c r="E170" t="s">
        <v>447</v>
      </c>
      <c r="F170" t="s">
        <v>482</v>
      </c>
      <c r="G170">
        <v>43</v>
      </c>
      <c r="H170" t="s">
        <v>486</v>
      </c>
      <c r="I170" t="s">
        <v>500</v>
      </c>
      <c r="J170" t="s">
        <v>505</v>
      </c>
      <c r="K170" t="s">
        <v>510</v>
      </c>
      <c r="L170">
        <v>2</v>
      </c>
      <c r="M170">
        <v>31654.99</v>
      </c>
      <c r="N170">
        <v>0.15</v>
      </c>
      <c r="O170">
        <v>53813.48</v>
      </c>
      <c r="P170">
        <v>34067.870000000003</v>
      </c>
      <c r="Q170">
        <v>19745.61</v>
      </c>
      <c r="R170" t="s">
        <v>530</v>
      </c>
      <c r="S170" t="s">
        <v>536</v>
      </c>
      <c r="T170" t="s">
        <v>540</v>
      </c>
      <c r="U170">
        <v>3</v>
      </c>
      <c r="V170">
        <v>2025</v>
      </c>
      <c r="W170" s="2" t="str">
        <f t="shared" si="6"/>
        <v>Aug</v>
      </c>
      <c r="X170">
        <f t="shared" si="7"/>
        <v>0.36692683691892813</v>
      </c>
      <c r="Y170" t="str">
        <f>UPPER(Table1[[#This Row],[CustomerName]])</f>
        <v>ARJUN SHAH</v>
      </c>
      <c r="Z170" t="str">
        <f t="shared" si="8"/>
        <v>Arjun</v>
      </c>
    </row>
    <row r="171" spans="1:26" x14ac:dyDescent="0.3">
      <c r="A171" t="s">
        <v>190</v>
      </c>
      <c r="B171" s="1">
        <v>46020</v>
      </c>
      <c r="C171" t="s">
        <v>348</v>
      </c>
      <c r="D171" t="s">
        <v>374</v>
      </c>
      <c r="E171" t="s">
        <v>433</v>
      </c>
      <c r="F171" t="s">
        <v>482</v>
      </c>
      <c r="G171">
        <v>23</v>
      </c>
      <c r="H171" t="s">
        <v>486</v>
      </c>
      <c r="I171" t="s">
        <v>495</v>
      </c>
      <c r="J171" t="s">
        <v>502</v>
      </c>
      <c r="K171" t="s">
        <v>513</v>
      </c>
      <c r="L171">
        <v>3</v>
      </c>
      <c r="M171">
        <v>878.02</v>
      </c>
      <c r="N171">
        <v>0.02</v>
      </c>
      <c r="O171">
        <v>2581.38</v>
      </c>
      <c r="P171">
        <v>1978.6</v>
      </c>
      <c r="Q171">
        <v>602.78</v>
      </c>
      <c r="R171" t="s">
        <v>528</v>
      </c>
      <c r="S171" t="s">
        <v>536</v>
      </c>
      <c r="T171" t="s">
        <v>540</v>
      </c>
      <c r="U171">
        <v>5</v>
      </c>
      <c r="V171">
        <v>2025</v>
      </c>
      <c r="W171" s="2" t="str">
        <f t="shared" si="6"/>
        <v>Dec</v>
      </c>
      <c r="X171">
        <f t="shared" si="7"/>
        <v>0.2335107578117131</v>
      </c>
      <c r="Y171" t="str">
        <f>UPPER(Table1[[#This Row],[CustomerName]])</f>
        <v>MEERA SHAH</v>
      </c>
      <c r="Z171" t="str">
        <f t="shared" si="8"/>
        <v>Meera</v>
      </c>
    </row>
    <row r="172" spans="1:26" x14ac:dyDescent="0.3">
      <c r="A172" t="s">
        <v>191</v>
      </c>
      <c r="B172" s="1">
        <v>45811</v>
      </c>
      <c r="C172" t="s">
        <v>317</v>
      </c>
      <c r="D172" t="s">
        <v>389</v>
      </c>
      <c r="E172" t="s">
        <v>448</v>
      </c>
      <c r="F172" t="s">
        <v>481</v>
      </c>
      <c r="G172">
        <v>57</v>
      </c>
      <c r="H172" t="s">
        <v>484</v>
      </c>
      <c r="I172" t="s">
        <v>491</v>
      </c>
      <c r="J172" t="s">
        <v>505</v>
      </c>
      <c r="K172" t="s">
        <v>518</v>
      </c>
      <c r="L172">
        <v>5</v>
      </c>
      <c r="M172">
        <v>59235.41</v>
      </c>
      <c r="N172">
        <v>0.02</v>
      </c>
      <c r="O172">
        <v>290253.51</v>
      </c>
      <c r="P172">
        <v>188372.5</v>
      </c>
      <c r="Q172">
        <v>101881.01</v>
      </c>
      <c r="R172" t="s">
        <v>531</v>
      </c>
      <c r="S172" t="s">
        <v>535</v>
      </c>
      <c r="T172" t="s">
        <v>538</v>
      </c>
      <c r="U172">
        <v>4</v>
      </c>
      <c r="V172">
        <v>2025</v>
      </c>
      <c r="W172" s="2" t="str">
        <f t="shared" si="6"/>
        <v>Jun</v>
      </c>
      <c r="X172">
        <f t="shared" si="7"/>
        <v>0.35100698696115679</v>
      </c>
      <c r="Y172" t="str">
        <f>UPPER(Table1[[#This Row],[CustomerName]])</f>
        <v>KAVYA PATEL</v>
      </c>
      <c r="Z172" t="str">
        <f t="shared" si="8"/>
        <v>Kavya</v>
      </c>
    </row>
    <row r="173" spans="1:26" x14ac:dyDescent="0.3">
      <c r="A173" t="s">
        <v>192</v>
      </c>
      <c r="B173" s="1">
        <v>45998</v>
      </c>
      <c r="C173" t="s">
        <v>352</v>
      </c>
      <c r="D173" t="s">
        <v>375</v>
      </c>
      <c r="E173" t="s">
        <v>434</v>
      </c>
      <c r="F173" t="s">
        <v>482</v>
      </c>
      <c r="G173">
        <v>25</v>
      </c>
      <c r="H173" t="s">
        <v>485</v>
      </c>
      <c r="I173" t="s">
        <v>496</v>
      </c>
      <c r="J173" t="s">
        <v>505</v>
      </c>
      <c r="K173" t="s">
        <v>518</v>
      </c>
      <c r="L173">
        <v>2</v>
      </c>
      <c r="M173">
        <v>56936.07</v>
      </c>
      <c r="N173">
        <v>0.02</v>
      </c>
      <c r="O173">
        <v>111594.7</v>
      </c>
      <c r="P173">
        <v>71171.53</v>
      </c>
      <c r="Q173">
        <v>40423.17</v>
      </c>
      <c r="R173" t="s">
        <v>529</v>
      </c>
      <c r="S173" t="s">
        <v>532</v>
      </c>
      <c r="T173" t="s">
        <v>539</v>
      </c>
      <c r="U173">
        <v>4</v>
      </c>
      <c r="V173">
        <v>2025</v>
      </c>
      <c r="W173" s="2" t="str">
        <f t="shared" si="6"/>
        <v>Dec</v>
      </c>
      <c r="X173">
        <f t="shared" si="7"/>
        <v>0.36223198771984688</v>
      </c>
      <c r="Y173" t="str">
        <f>UPPER(Table1[[#This Row],[CustomerName]])</f>
        <v>JIYA PATEL</v>
      </c>
      <c r="Z173" t="str">
        <f t="shared" si="8"/>
        <v>Jiya</v>
      </c>
    </row>
    <row r="174" spans="1:26" x14ac:dyDescent="0.3">
      <c r="A174" t="s">
        <v>193</v>
      </c>
      <c r="B174" s="1">
        <v>45700</v>
      </c>
      <c r="C174" t="s">
        <v>291</v>
      </c>
      <c r="D174" t="s">
        <v>376</v>
      </c>
      <c r="E174" t="s">
        <v>435</v>
      </c>
      <c r="F174" t="s">
        <v>481</v>
      </c>
      <c r="G174">
        <v>45</v>
      </c>
      <c r="H174" t="s">
        <v>485</v>
      </c>
      <c r="I174" t="s">
        <v>496</v>
      </c>
      <c r="J174" t="s">
        <v>506</v>
      </c>
      <c r="K174" t="s">
        <v>525</v>
      </c>
      <c r="L174">
        <v>2</v>
      </c>
      <c r="M174">
        <v>419.88</v>
      </c>
      <c r="N174">
        <v>0.15</v>
      </c>
      <c r="O174">
        <v>713.8</v>
      </c>
      <c r="P174">
        <v>563.46</v>
      </c>
      <c r="Q174">
        <v>150.34</v>
      </c>
      <c r="R174" t="s">
        <v>531</v>
      </c>
      <c r="S174" t="s">
        <v>535</v>
      </c>
      <c r="T174" t="s">
        <v>540</v>
      </c>
      <c r="U174">
        <v>5</v>
      </c>
      <c r="V174">
        <v>2025</v>
      </c>
      <c r="W174" s="2" t="str">
        <f t="shared" si="6"/>
        <v>Feb</v>
      </c>
      <c r="X174">
        <f t="shared" si="7"/>
        <v>0.21061922107032785</v>
      </c>
      <c r="Y174" t="str">
        <f>UPPER(Table1[[#This Row],[CustomerName]])</f>
        <v>MEERA PATEL</v>
      </c>
      <c r="Z174" t="str">
        <f t="shared" si="8"/>
        <v>Meera</v>
      </c>
    </row>
    <row r="175" spans="1:26" x14ac:dyDescent="0.3">
      <c r="A175" t="s">
        <v>194</v>
      </c>
      <c r="B175" s="1">
        <v>45723</v>
      </c>
      <c r="C175" t="s">
        <v>350</v>
      </c>
      <c r="D175" t="s">
        <v>402</v>
      </c>
      <c r="E175" t="s">
        <v>461</v>
      </c>
      <c r="F175" t="s">
        <v>482</v>
      </c>
      <c r="G175">
        <v>55</v>
      </c>
      <c r="H175" t="s">
        <v>485</v>
      </c>
      <c r="I175" t="s">
        <v>498</v>
      </c>
      <c r="J175" t="s">
        <v>504</v>
      </c>
      <c r="K175" t="s">
        <v>516</v>
      </c>
      <c r="L175">
        <v>5</v>
      </c>
      <c r="M175">
        <v>935.9</v>
      </c>
      <c r="N175">
        <v>0.08</v>
      </c>
      <c r="O175">
        <v>4305.1400000000003</v>
      </c>
      <c r="P175">
        <v>2722.81</v>
      </c>
      <c r="Q175">
        <v>1582.33</v>
      </c>
      <c r="R175" t="s">
        <v>527</v>
      </c>
      <c r="S175" t="s">
        <v>534</v>
      </c>
      <c r="T175" t="s">
        <v>538</v>
      </c>
      <c r="U175">
        <v>3</v>
      </c>
      <c r="V175">
        <v>2025</v>
      </c>
      <c r="W175" s="2" t="str">
        <f t="shared" si="6"/>
        <v>Mar</v>
      </c>
      <c r="X175">
        <f t="shared" si="7"/>
        <v>0.36754437718634003</v>
      </c>
      <c r="Y175" t="str">
        <f>UPPER(Table1[[#This Row],[CustomerName]])</f>
        <v>POOJA SHAH</v>
      </c>
      <c r="Z175" t="str">
        <f t="shared" si="8"/>
        <v>Pooja</v>
      </c>
    </row>
    <row r="176" spans="1:26" x14ac:dyDescent="0.3">
      <c r="A176" t="s">
        <v>195</v>
      </c>
      <c r="B176" s="1">
        <v>45689</v>
      </c>
      <c r="C176" t="s">
        <v>330</v>
      </c>
      <c r="D176" t="s">
        <v>365</v>
      </c>
      <c r="E176" t="s">
        <v>424</v>
      </c>
      <c r="F176" t="s">
        <v>481</v>
      </c>
      <c r="G176">
        <v>41</v>
      </c>
      <c r="H176" t="s">
        <v>485</v>
      </c>
      <c r="I176" t="s">
        <v>489</v>
      </c>
      <c r="J176" t="s">
        <v>505</v>
      </c>
      <c r="K176" t="s">
        <v>520</v>
      </c>
      <c r="L176">
        <v>4</v>
      </c>
      <c r="M176">
        <v>2602.6999999999998</v>
      </c>
      <c r="N176">
        <v>0.15</v>
      </c>
      <c r="O176">
        <v>8849.18</v>
      </c>
      <c r="P176">
        <v>5518.25</v>
      </c>
      <c r="Q176">
        <v>3330.93</v>
      </c>
      <c r="R176" t="s">
        <v>530</v>
      </c>
      <c r="S176" t="s">
        <v>537</v>
      </c>
      <c r="T176" t="s">
        <v>540</v>
      </c>
      <c r="U176">
        <v>4</v>
      </c>
      <c r="V176">
        <v>2025</v>
      </c>
      <c r="W176" s="2" t="str">
        <f t="shared" si="6"/>
        <v>Feb</v>
      </c>
      <c r="X176">
        <f t="shared" si="7"/>
        <v>0.37641114769956086</v>
      </c>
      <c r="Y176" t="str">
        <f>UPPER(Table1[[#This Row],[CustomerName]])</f>
        <v>RIYA SHAH</v>
      </c>
      <c r="Z176" t="str">
        <f t="shared" si="8"/>
        <v>Riya</v>
      </c>
    </row>
    <row r="177" spans="1:26" x14ac:dyDescent="0.3">
      <c r="A177" t="s">
        <v>196</v>
      </c>
      <c r="B177" s="1">
        <v>45825</v>
      </c>
      <c r="C177" t="s">
        <v>292</v>
      </c>
      <c r="D177" t="s">
        <v>417</v>
      </c>
      <c r="E177" t="s">
        <v>476</v>
      </c>
      <c r="F177" t="s">
        <v>482</v>
      </c>
      <c r="G177">
        <v>23</v>
      </c>
      <c r="H177" t="s">
        <v>483</v>
      </c>
      <c r="I177" t="s">
        <v>490</v>
      </c>
      <c r="J177" t="s">
        <v>506</v>
      </c>
      <c r="K177" t="s">
        <v>519</v>
      </c>
      <c r="L177">
        <v>2</v>
      </c>
      <c r="M177">
        <v>1116.52</v>
      </c>
      <c r="N177">
        <v>0.15</v>
      </c>
      <c r="O177">
        <v>1898.08</v>
      </c>
      <c r="P177">
        <v>1307.27</v>
      </c>
      <c r="Q177">
        <v>590.80999999999995</v>
      </c>
      <c r="R177" t="s">
        <v>527</v>
      </c>
      <c r="S177" t="s">
        <v>532</v>
      </c>
      <c r="T177" t="s">
        <v>538</v>
      </c>
      <c r="U177">
        <v>5</v>
      </c>
      <c r="V177">
        <v>2025</v>
      </c>
      <c r="W177" s="2" t="str">
        <f t="shared" si="6"/>
        <v>Jun</v>
      </c>
      <c r="X177">
        <f t="shared" si="7"/>
        <v>0.31126717525077974</v>
      </c>
      <c r="Y177" t="str">
        <f>UPPER(Table1[[#This Row],[CustomerName]])</f>
        <v>ISHAAN SHAH</v>
      </c>
      <c r="Z177" t="str">
        <f t="shared" si="8"/>
        <v>Ishaan</v>
      </c>
    </row>
    <row r="178" spans="1:26" x14ac:dyDescent="0.3">
      <c r="A178" t="s">
        <v>197</v>
      </c>
      <c r="B178" s="1">
        <v>45936</v>
      </c>
      <c r="C178" t="s">
        <v>340</v>
      </c>
      <c r="D178" t="s">
        <v>399</v>
      </c>
      <c r="E178" t="s">
        <v>458</v>
      </c>
      <c r="F178" t="s">
        <v>481</v>
      </c>
      <c r="G178">
        <v>53</v>
      </c>
      <c r="H178" t="s">
        <v>486</v>
      </c>
      <c r="I178" t="s">
        <v>497</v>
      </c>
      <c r="J178" t="s">
        <v>503</v>
      </c>
      <c r="K178" t="s">
        <v>521</v>
      </c>
      <c r="L178">
        <v>5</v>
      </c>
      <c r="M178">
        <v>9668.85</v>
      </c>
      <c r="N178">
        <v>0.08</v>
      </c>
      <c r="O178">
        <v>44476.71</v>
      </c>
      <c r="P178">
        <v>32230.76</v>
      </c>
      <c r="Q178">
        <v>12245.95</v>
      </c>
      <c r="R178" t="s">
        <v>527</v>
      </c>
      <c r="S178" t="s">
        <v>536</v>
      </c>
      <c r="T178" t="s">
        <v>538</v>
      </c>
      <c r="U178">
        <v>4</v>
      </c>
      <c r="V178">
        <v>2025</v>
      </c>
      <c r="W178" s="2" t="str">
        <f t="shared" si="6"/>
        <v>Oct</v>
      </c>
      <c r="X178">
        <f t="shared" si="7"/>
        <v>0.27533398940704024</v>
      </c>
      <c r="Y178" t="str">
        <f>UPPER(Table1[[#This Row],[CustomerName]])</f>
        <v>YASH SHAH</v>
      </c>
      <c r="Z178" t="str">
        <f t="shared" si="8"/>
        <v>Yash</v>
      </c>
    </row>
    <row r="179" spans="1:26" x14ac:dyDescent="0.3">
      <c r="A179" t="s">
        <v>198</v>
      </c>
      <c r="B179" s="1">
        <v>45712</v>
      </c>
      <c r="C179" t="s">
        <v>291</v>
      </c>
      <c r="D179" t="s">
        <v>396</v>
      </c>
      <c r="E179" t="s">
        <v>455</v>
      </c>
      <c r="F179" t="s">
        <v>482</v>
      </c>
      <c r="G179">
        <v>59</v>
      </c>
      <c r="H179" t="s">
        <v>486</v>
      </c>
      <c r="I179" t="s">
        <v>500</v>
      </c>
      <c r="J179" t="s">
        <v>505</v>
      </c>
      <c r="K179" t="s">
        <v>510</v>
      </c>
      <c r="L179">
        <v>2</v>
      </c>
      <c r="M179">
        <v>28358.18</v>
      </c>
      <c r="N179">
        <v>0.08</v>
      </c>
      <c r="O179">
        <v>52179.05</v>
      </c>
      <c r="P179">
        <v>38172.32</v>
      </c>
      <c r="Q179">
        <v>14006.73</v>
      </c>
      <c r="R179" t="s">
        <v>531</v>
      </c>
      <c r="S179" t="s">
        <v>534</v>
      </c>
      <c r="T179" t="s">
        <v>538</v>
      </c>
      <c r="U179">
        <v>5</v>
      </c>
      <c r="V179">
        <v>2025</v>
      </c>
      <c r="W179" s="2" t="str">
        <f t="shared" si="6"/>
        <v>Feb</v>
      </c>
      <c r="X179">
        <f t="shared" si="7"/>
        <v>0.26843589524914691</v>
      </c>
      <c r="Y179" t="str">
        <f>UPPER(Table1[[#This Row],[CustomerName]])</f>
        <v>DHRUV PATEL</v>
      </c>
      <c r="Z179" t="str">
        <f t="shared" si="8"/>
        <v>Dhruv</v>
      </c>
    </row>
    <row r="180" spans="1:26" x14ac:dyDescent="0.3">
      <c r="A180" t="s">
        <v>199</v>
      </c>
      <c r="B180" s="1">
        <v>45697</v>
      </c>
      <c r="C180" t="s">
        <v>353</v>
      </c>
      <c r="D180" t="s">
        <v>401</v>
      </c>
      <c r="E180" t="s">
        <v>460</v>
      </c>
      <c r="F180" t="s">
        <v>481</v>
      </c>
      <c r="G180">
        <v>45</v>
      </c>
      <c r="H180" t="s">
        <v>483</v>
      </c>
      <c r="I180" t="s">
        <v>487</v>
      </c>
      <c r="J180" t="s">
        <v>502</v>
      </c>
      <c r="K180" t="s">
        <v>507</v>
      </c>
      <c r="L180">
        <v>5</v>
      </c>
      <c r="M180">
        <v>2904.22</v>
      </c>
      <c r="N180">
        <v>0.05</v>
      </c>
      <c r="O180">
        <v>13795.04</v>
      </c>
      <c r="P180">
        <v>9416.94</v>
      </c>
      <c r="Q180">
        <v>4378.1000000000004</v>
      </c>
      <c r="R180" t="s">
        <v>528</v>
      </c>
      <c r="S180" t="s">
        <v>532</v>
      </c>
      <c r="T180" t="s">
        <v>538</v>
      </c>
      <c r="U180">
        <v>4</v>
      </c>
      <c r="V180">
        <v>2025</v>
      </c>
      <c r="W180" s="2" t="str">
        <f t="shared" si="6"/>
        <v>Feb</v>
      </c>
      <c r="X180">
        <f t="shared" si="7"/>
        <v>0.31736769157610273</v>
      </c>
      <c r="Y180" t="str">
        <f>UPPER(Table1[[#This Row],[CustomerName]])</f>
        <v>ARYAN SHAH</v>
      </c>
      <c r="Z180" t="str">
        <f t="shared" si="8"/>
        <v>Aryan</v>
      </c>
    </row>
    <row r="181" spans="1:26" x14ac:dyDescent="0.3">
      <c r="A181" t="s">
        <v>200</v>
      </c>
      <c r="B181" s="1">
        <v>45786</v>
      </c>
      <c r="C181" t="s">
        <v>330</v>
      </c>
      <c r="D181" t="s">
        <v>378</v>
      </c>
      <c r="E181" t="s">
        <v>437</v>
      </c>
      <c r="F181" t="s">
        <v>482</v>
      </c>
      <c r="G181">
        <v>57</v>
      </c>
      <c r="H181" t="s">
        <v>485</v>
      </c>
      <c r="I181" t="s">
        <v>492</v>
      </c>
      <c r="J181" t="s">
        <v>502</v>
      </c>
      <c r="K181" t="s">
        <v>513</v>
      </c>
      <c r="L181">
        <v>2</v>
      </c>
      <c r="M181">
        <v>851.9</v>
      </c>
      <c r="N181">
        <v>0.15</v>
      </c>
      <c r="O181">
        <v>1448.23</v>
      </c>
      <c r="P181">
        <v>1181.69</v>
      </c>
      <c r="Q181">
        <v>266.54000000000002</v>
      </c>
      <c r="R181" t="s">
        <v>528</v>
      </c>
      <c r="S181" t="s">
        <v>534</v>
      </c>
      <c r="T181" t="s">
        <v>538</v>
      </c>
      <c r="U181">
        <v>3</v>
      </c>
      <c r="V181">
        <v>2025</v>
      </c>
      <c r="W181" s="2" t="str">
        <f t="shared" si="6"/>
        <v>May</v>
      </c>
      <c r="X181">
        <f t="shared" si="7"/>
        <v>0.18404535191233437</v>
      </c>
      <c r="Y181" t="str">
        <f>UPPER(Table1[[#This Row],[CustomerName]])</f>
        <v>ANAYA PATEL</v>
      </c>
      <c r="Z181" t="str">
        <f t="shared" si="8"/>
        <v>Anaya</v>
      </c>
    </row>
    <row r="182" spans="1:26" x14ac:dyDescent="0.3">
      <c r="A182" t="s">
        <v>201</v>
      </c>
      <c r="B182" s="1">
        <v>45938</v>
      </c>
      <c r="C182" t="s">
        <v>320</v>
      </c>
      <c r="D182" t="s">
        <v>415</v>
      </c>
      <c r="E182" t="s">
        <v>474</v>
      </c>
      <c r="F182" t="s">
        <v>481</v>
      </c>
      <c r="G182">
        <v>41</v>
      </c>
      <c r="H182" t="s">
        <v>485</v>
      </c>
      <c r="I182" t="s">
        <v>489</v>
      </c>
      <c r="J182" t="s">
        <v>505</v>
      </c>
      <c r="K182" t="s">
        <v>510</v>
      </c>
      <c r="L182">
        <v>5</v>
      </c>
      <c r="M182">
        <v>32272.6</v>
      </c>
      <c r="N182">
        <v>0.08</v>
      </c>
      <c r="O182">
        <v>148453.96</v>
      </c>
      <c r="P182">
        <v>117521.41</v>
      </c>
      <c r="Q182">
        <v>30932.55</v>
      </c>
      <c r="R182" t="s">
        <v>527</v>
      </c>
      <c r="S182" t="s">
        <v>537</v>
      </c>
      <c r="T182" t="s">
        <v>538</v>
      </c>
      <c r="U182">
        <v>5</v>
      </c>
      <c r="V182">
        <v>2025</v>
      </c>
      <c r="W182" s="2" t="str">
        <f t="shared" si="6"/>
        <v>Oct</v>
      </c>
      <c r="X182">
        <f t="shared" si="7"/>
        <v>0.20836460004165602</v>
      </c>
      <c r="Y182" t="str">
        <f>UPPER(Table1[[#This Row],[CustomerName]])</f>
        <v>KRISH PATEL</v>
      </c>
      <c r="Z182" t="str">
        <f t="shared" si="8"/>
        <v>Krish</v>
      </c>
    </row>
    <row r="183" spans="1:26" x14ac:dyDescent="0.3">
      <c r="A183" t="s">
        <v>202</v>
      </c>
      <c r="B183" s="1">
        <v>46021</v>
      </c>
      <c r="C183" t="s">
        <v>352</v>
      </c>
      <c r="D183" t="s">
        <v>394</v>
      </c>
      <c r="E183" t="s">
        <v>453</v>
      </c>
      <c r="F183" t="s">
        <v>481</v>
      </c>
      <c r="G183">
        <v>18</v>
      </c>
      <c r="H183" t="s">
        <v>485</v>
      </c>
      <c r="I183" t="s">
        <v>496</v>
      </c>
      <c r="J183" t="s">
        <v>503</v>
      </c>
      <c r="K183" t="s">
        <v>512</v>
      </c>
      <c r="L183">
        <v>3</v>
      </c>
      <c r="M183">
        <v>6895.01</v>
      </c>
      <c r="N183">
        <v>0.15</v>
      </c>
      <c r="O183">
        <v>17582.28</v>
      </c>
      <c r="P183">
        <v>11512.04</v>
      </c>
      <c r="Q183">
        <v>6070.24</v>
      </c>
      <c r="R183" t="s">
        <v>530</v>
      </c>
      <c r="S183" t="s">
        <v>536</v>
      </c>
      <c r="T183" t="s">
        <v>538</v>
      </c>
      <c r="U183">
        <v>3</v>
      </c>
      <c r="V183">
        <v>2025</v>
      </c>
      <c r="W183" s="2" t="str">
        <f t="shared" si="6"/>
        <v>Dec</v>
      </c>
      <c r="X183">
        <f t="shared" si="7"/>
        <v>0.34524760156248224</v>
      </c>
      <c r="Y183" t="str">
        <f>UPPER(Table1[[#This Row],[CustomerName]])</f>
        <v>HARSH SHAH</v>
      </c>
      <c r="Z183" t="str">
        <f t="shared" si="8"/>
        <v>Harsh</v>
      </c>
    </row>
    <row r="184" spans="1:26" x14ac:dyDescent="0.3">
      <c r="A184" t="s">
        <v>203</v>
      </c>
      <c r="B184" s="1">
        <v>45820</v>
      </c>
      <c r="C184" t="s">
        <v>320</v>
      </c>
      <c r="D184" t="s">
        <v>389</v>
      </c>
      <c r="E184" t="s">
        <v>448</v>
      </c>
      <c r="F184" t="s">
        <v>481</v>
      </c>
      <c r="G184">
        <v>57</v>
      </c>
      <c r="H184" t="s">
        <v>484</v>
      </c>
      <c r="I184" t="s">
        <v>491</v>
      </c>
      <c r="J184" t="s">
        <v>503</v>
      </c>
      <c r="K184" t="s">
        <v>521</v>
      </c>
      <c r="L184">
        <v>2</v>
      </c>
      <c r="M184">
        <v>9358.31</v>
      </c>
      <c r="N184">
        <v>0</v>
      </c>
      <c r="O184">
        <v>18716.62</v>
      </c>
      <c r="P184">
        <v>13234.54</v>
      </c>
      <c r="Q184">
        <v>5482.08</v>
      </c>
      <c r="R184" t="s">
        <v>529</v>
      </c>
      <c r="S184" t="s">
        <v>535</v>
      </c>
      <c r="T184" t="s">
        <v>538</v>
      </c>
      <c r="U184">
        <v>5</v>
      </c>
      <c r="V184">
        <v>2025</v>
      </c>
      <c r="W184" s="2" t="str">
        <f t="shared" si="6"/>
        <v>Jun</v>
      </c>
      <c r="X184">
        <f t="shared" si="7"/>
        <v>0.2928990383947529</v>
      </c>
      <c r="Y184" t="str">
        <f>UPPER(Table1[[#This Row],[CustomerName]])</f>
        <v>KAVYA PATEL</v>
      </c>
      <c r="Z184" t="str">
        <f t="shared" si="8"/>
        <v>Kavya</v>
      </c>
    </row>
    <row r="185" spans="1:26" x14ac:dyDescent="0.3">
      <c r="A185" t="s">
        <v>204</v>
      </c>
      <c r="B185" s="1">
        <v>45946</v>
      </c>
      <c r="C185" t="s">
        <v>314</v>
      </c>
      <c r="D185" t="s">
        <v>411</v>
      </c>
      <c r="E185" t="s">
        <v>470</v>
      </c>
      <c r="F185" t="s">
        <v>482</v>
      </c>
      <c r="G185">
        <v>22</v>
      </c>
      <c r="H185" t="s">
        <v>483</v>
      </c>
      <c r="I185" t="s">
        <v>490</v>
      </c>
      <c r="J185" t="s">
        <v>502</v>
      </c>
      <c r="K185" t="s">
        <v>515</v>
      </c>
      <c r="L185">
        <v>3</v>
      </c>
      <c r="M185">
        <v>1853.66</v>
      </c>
      <c r="N185">
        <v>0.08</v>
      </c>
      <c r="O185">
        <v>5116.1000000000004</v>
      </c>
      <c r="P185">
        <v>3869.48</v>
      </c>
      <c r="Q185">
        <v>1246.6199999999999</v>
      </c>
      <c r="R185" t="s">
        <v>529</v>
      </c>
      <c r="S185" t="s">
        <v>536</v>
      </c>
      <c r="T185" t="s">
        <v>540</v>
      </c>
      <c r="U185">
        <v>5</v>
      </c>
      <c r="V185">
        <v>2025</v>
      </c>
      <c r="W185" s="2" t="str">
        <f t="shared" si="6"/>
        <v>Oct</v>
      </c>
      <c r="X185">
        <f t="shared" si="7"/>
        <v>0.24366607376712726</v>
      </c>
      <c r="Y185" t="str">
        <f>UPPER(Table1[[#This Row],[CustomerName]])</f>
        <v>POOJA PATEL</v>
      </c>
      <c r="Z185" t="str">
        <f t="shared" si="8"/>
        <v>Pooja</v>
      </c>
    </row>
    <row r="186" spans="1:26" x14ac:dyDescent="0.3">
      <c r="A186" t="s">
        <v>205</v>
      </c>
      <c r="B186" s="1">
        <v>45785</v>
      </c>
      <c r="C186" t="s">
        <v>345</v>
      </c>
      <c r="D186" t="s">
        <v>377</v>
      </c>
      <c r="E186" t="s">
        <v>436</v>
      </c>
      <c r="F186" t="s">
        <v>481</v>
      </c>
      <c r="G186">
        <v>58</v>
      </c>
      <c r="H186" t="s">
        <v>483</v>
      </c>
      <c r="I186" t="s">
        <v>487</v>
      </c>
      <c r="J186" t="s">
        <v>504</v>
      </c>
      <c r="K186" t="s">
        <v>516</v>
      </c>
      <c r="L186">
        <v>5</v>
      </c>
      <c r="M186">
        <v>832.78</v>
      </c>
      <c r="N186">
        <v>0.1</v>
      </c>
      <c r="O186">
        <v>3747.51</v>
      </c>
      <c r="P186">
        <v>2629.48</v>
      </c>
      <c r="Q186">
        <v>1118.03</v>
      </c>
      <c r="R186" t="s">
        <v>527</v>
      </c>
      <c r="S186" t="s">
        <v>537</v>
      </c>
      <c r="T186" t="s">
        <v>539</v>
      </c>
      <c r="U186">
        <v>4</v>
      </c>
      <c r="V186">
        <v>2025</v>
      </c>
      <c r="W186" s="2" t="str">
        <f t="shared" si="6"/>
        <v>May</v>
      </c>
      <c r="X186">
        <f t="shared" si="7"/>
        <v>0.29833943071532831</v>
      </c>
      <c r="Y186" t="str">
        <f>UPPER(Table1[[#This Row],[CustomerName]])</f>
        <v>AANYA PATEL</v>
      </c>
      <c r="Z186" t="str">
        <f t="shared" si="8"/>
        <v>Aanya</v>
      </c>
    </row>
    <row r="187" spans="1:26" x14ac:dyDescent="0.3">
      <c r="A187" t="s">
        <v>206</v>
      </c>
      <c r="B187" s="1">
        <v>46012</v>
      </c>
      <c r="C187" t="s">
        <v>296</v>
      </c>
      <c r="D187" t="s">
        <v>382</v>
      </c>
      <c r="E187" t="s">
        <v>441</v>
      </c>
      <c r="F187" t="s">
        <v>482</v>
      </c>
      <c r="G187">
        <v>32</v>
      </c>
      <c r="H187" t="s">
        <v>485</v>
      </c>
      <c r="I187" t="s">
        <v>489</v>
      </c>
      <c r="J187" t="s">
        <v>504</v>
      </c>
      <c r="K187" t="s">
        <v>516</v>
      </c>
      <c r="L187">
        <v>1</v>
      </c>
      <c r="M187">
        <v>953.89</v>
      </c>
      <c r="N187">
        <v>0.05</v>
      </c>
      <c r="O187">
        <v>906.2</v>
      </c>
      <c r="P187">
        <v>663.42</v>
      </c>
      <c r="Q187">
        <v>242.78</v>
      </c>
      <c r="R187" t="s">
        <v>528</v>
      </c>
      <c r="S187" t="s">
        <v>533</v>
      </c>
      <c r="T187" t="s">
        <v>538</v>
      </c>
      <c r="U187">
        <v>4</v>
      </c>
      <c r="V187">
        <v>2025</v>
      </c>
      <c r="W187" s="2" t="str">
        <f t="shared" si="6"/>
        <v>Dec</v>
      </c>
      <c r="X187">
        <f t="shared" si="7"/>
        <v>0.26790995365261533</v>
      </c>
      <c r="Y187" t="str">
        <f>UPPER(Table1[[#This Row],[CustomerName]])</f>
        <v>YASH PATEL</v>
      </c>
      <c r="Z187" t="str">
        <f t="shared" si="8"/>
        <v>Yash</v>
      </c>
    </row>
    <row r="188" spans="1:26" x14ac:dyDescent="0.3">
      <c r="A188" t="s">
        <v>207</v>
      </c>
      <c r="B188" s="1">
        <v>45985</v>
      </c>
      <c r="C188" t="s">
        <v>354</v>
      </c>
      <c r="D188" t="s">
        <v>395</v>
      </c>
      <c r="E188" t="s">
        <v>454</v>
      </c>
      <c r="F188" t="s">
        <v>481</v>
      </c>
      <c r="G188">
        <v>49</v>
      </c>
      <c r="H188" t="s">
        <v>485</v>
      </c>
      <c r="I188" t="s">
        <v>498</v>
      </c>
      <c r="J188" t="s">
        <v>504</v>
      </c>
      <c r="K188" t="s">
        <v>517</v>
      </c>
      <c r="L188">
        <v>3</v>
      </c>
      <c r="M188">
        <v>296.27999999999997</v>
      </c>
      <c r="N188">
        <v>0</v>
      </c>
      <c r="O188">
        <v>888.84</v>
      </c>
      <c r="P188">
        <v>626</v>
      </c>
      <c r="Q188">
        <v>262.83999999999997</v>
      </c>
      <c r="R188" t="s">
        <v>531</v>
      </c>
      <c r="S188" t="s">
        <v>537</v>
      </c>
      <c r="T188" t="s">
        <v>540</v>
      </c>
      <c r="U188">
        <v>5</v>
      </c>
      <c r="V188">
        <v>2025</v>
      </c>
      <c r="W188" s="2" t="str">
        <f t="shared" si="6"/>
        <v>Nov</v>
      </c>
      <c r="X188">
        <f t="shared" si="7"/>
        <v>0.29571126411952653</v>
      </c>
      <c r="Y188" t="str">
        <f>UPPER(Table1[[#This Row],[CustomerName]])</f>
        <v>ROHAN SHAH</v>
      </c>
      <c r="Z188" t="str">
        <f t="shared" si="8"/>
        <v>Rohan</v>
      </c>
    </row>
    <row r="189" spans="1:26" x14ac:dyDescent="0.3">
      <c r="A189" t="s">
        <v>208</v>
      </c>
      <c r="B189" s="1">
        <v>45767</v>
      </c>
      <c r="C189" t="s">
        <v>354</v>
      </c>
      <c r="D189" t="s">
        <v>369</v>
      </c>
      <c r="E189" t="s">
        <v>428</v>
      </c>
      <c r="F189" t="s">
        <v>482</v>
      </c>
      <c r="G189">
        <v>53</v>
      </c>
      <c r="H189" t="s">
        <v>485</v>
      </c>
      <c r="I189" t="s">
        <v>492</v>
      </c>
      <c r="J189" t="s">
        <v>506</v>
      </c>
      <c r="K189" t="s">
        <v>525</v>
      </c>
      <c r="L189">
        <v>4</v>
      </c>
      <c r="M189">
        <v>415.3</v>
      </c>
      <c r="N189">
        <v>0.15</v>
      </c>
      <c r="O189">
        <v>1412.02</v>
      </c>
      <c r="P189">
        <v>1080.67</v>
      </c>
      <c r="Q189">
        <v>331.35</v>
      </c>
      <c r="R189" t="s">
        <v>528</v>
      </c>
      <c r="S189" t="s">
        <v>536</v>
      </c>
      <c r="T189" t="s">
        <v>538</v>
      </c>
      <c r="U189">
        <v>4</v>
      </c>
      <c r="V189">
        <v>2025</v>
      </c>
      <c r="W189" s="2" t="str">
        <f t="shared" si="6"/>
        <v>Apr</v>
      </c>
      <c r="X189">
        <f t="shared" si="7"/>
        <v>0.23466381496012806</v>
      </c>
      <c r="Y189" t="str">
        <f>UPPER(Table1[[#This Row],[CustomerName]])</f>
        <v>RIYA PATEL</v>
      </c>
      <c r="Z189" t="str">
        <f t="shared" si="8"/>
        <v>Riya</v>
      </c>
    </row>
    <row r="190" spans="1:26" x14ac:dyDescent="0.3">
      <c r="A190" t="s">
        <v>209</v>
      </c>
      <c r="B190" s="1">
        <v>45777</v>
      </c>
      <c r="C190" t="s">
        <v>309</v>
      </c>
      <c r="D190" t="s">
        <v>393</v>
      </c>
      <c r="E190" t="s">
        <v>452</v>
      </c>
      <c r="F190" t="s">
        <v>481</v>
      </c>
      <c r="G190">
        <v>50</v>
      </c>
      <c r="H190" t="s">
        <v>485</v>
      </c>
      <c r="I190" t="s">
        <v>496</v>
      </c>
      <c r="J190" t="s">
        <v>502</v>
      </c>
      <c r="K190" t="s">
        <v>514</v>
      </c>
      <c r="L190">
        <v>1</v>
      </c>
      <c r="M190">
        <v>1438.05</v>
      </c>
      <c r="N190">
        <v>0</v>
      </c>
      <c r="O190">
        <v>1438.05</v>
      </c>
      <c r="P190">
        <v>1026.4100000000001</v>
      </c>
      <c r="Q190">
        <v>411.64</v>
      </c>
      <c r="R190" t="s">
        <v>529</v>
      </c>
      <c r="S190" t="s">
        <v>537</v>
      </c>
      <c r="T190" t="s">
        <v>538</v>
      </c>
      <c r="U190">
        <v>4</v>
      </c>
      <c r="V190">
        <v>2025</v>
      </c>
      <c r="W190" s="2" t="str">
        <f t="shared" si="6"/>
        <v>Apr</v>
      </c>
      <c r="X190">
        <f t="shared" si="7"/>
        <v>0.28624873961266994</v>
      </c>
      <c r="Y190" t="str">
        <f>UPPER(Table1[[#This Row],[CustomerName]])</f>
        <v>DIYA SHAH</v>
      </c>
      <c r="Z190" t="str">
        <f t="shared" si="8"/>
        <v>Diya</v>
      </c>
    </row>
    <row r="191" spans="1:26" x14ac:dyDescent="0.3">
      <c r="A191" t="s">
        <v>210</v>
      </c>
      <c r="B191" s="1">
        <v>45991</v>
      </c>
      <c r="C191" t="s">
        <v>289</v>
      </c>
      <c r="D191" t="s">
        <v>406</v>
      </c>
      <c r="E191" t="s">
        <v>465</v>
      </c>
      <c r="F191" t="s">
        <v>481</v>
      </c>
      <c r="G191">
        <v>33</v>
      </c>
      <c r="H191" t="s">
        <v>486</v>
      </c>
      <c r="I191" t="s">
        <v>501</v>
      </c>
      <c r="J191" t="s">
        <v>505</v>
      </c>
      <c r="K191" t="s">
        <v>522</v>
      </c>
      <c r="L191">
        <v>2</v>
      </c>
      <c r="M191">
        <v>5134.24</v>
      </c>
      <c r="N191">
        <v>0.15</v>
      </c>
      <c r="O191">
        <v>8728.2099999999991</v>
      </c>
      <c r="P191">
        <v>6005.72</v>
      </c>
      <c r="Q191">
        <v>2722.49</v>
      </c>
      <c r="R191" t="s">
        <v>530</v>
      </c>
      <c r="S191" t="s">
        <v>537</v>
      </c>
      <c r="T191" t="s">
        <v>538</v>
      </c>
      <c r="U191">
        <v>3</v>
      </c>
      <c r="V191">
        <v>2025</v>
      </c>
      <c r="W191" s="2" t="str">
        <f t="shared" si="6"/>
        <v>Nov</v>
      </c>
      <c r="X191">
        <f t="shared" si="7"/>
        <v>0.31191848042152975</v>
      </c>
      <c r="Y191" t="str">
        <f>UPPER(Table1[[#This Row],[CustomerName]])</f>
        <v>AVNI SHAH</v>
      </c>
      <c r="Z191" t="str">
        <f t="shared" si="8"/>
        <v>Avni</v>
      </c>
    </row>
    <row r="192" spans="1:26" x14ac:dyDescent="0.3">
      <c r="A192" t="s">
        <v>211</v>
      </c>
      <c r="B192" s="1">
        <v>45924</v>
      </c>
      <c r="C192" t="s">
        <v>323</v>
      </c>
      <c r="D192" t="s">
        <v>388</v>
      </c>
      <c r="E192" t="s">
        <v>447</v>
      </c>
      <c r="F192" t="s">
        <v>482</v>
      </c>
      <c r="G192">
        <v>43</v>
      </c>
      <c r="H192" t="s">
        <v>486</v>
      </c>
      <c r="I192" t="s">
        <v>500</v>
      </c>
      <c r="J192" t="s">
        <v>502</v>
      </c>
      <c r="K192" t="s">
        <v>513</v>
      </c>
      <c r="L192">
        <v>4</v>
      </c>
      <c r="M192">
        <v>859.71</v>
      </c>
      <c r="N192">
        <v>0.08</v>
      </c>
      <c r="O192">
        <v>3163.73</v>
      </c>
      <c r="P192">
        <v>2034.24</v>
      </c>
      <c r="Q192">
        <v>1129.49</v>
      </c>
      <c r="R192" t="s">
        <v>530</v>
      </c>
      <c r="S192" t="s">
        <v>532</v>
      </c>
      <c r="T192" t="s">
        <v>539</v>
      </c>
      <c r="U192">
        <v>5</v>
      </c>
      <c r="V192">
        <v>2025</v>
      </c>
      <c r="W192" s="2" t="str">
        <f t="shared" si="6"/>
        <v>Sep</v>
      </c>
      <c r="X192">
        <f t="shared" si="7"/>
        <v>0.3570121344109643</v>
      </c>
      <c r="Y192" t="str">
        <f>UPPER(Table1[[#This Row],[CustomerName]])</f>
        <v>ARJUN SHAH</v>
      </c>
      <c r="Z192" t="str">
        <f t="shared" si="8"/>
        <v>Arjun</v>
      </c>
    </row>
    <row r="193" spans="1:26" x14ac:dyDescent="0.3">
      <c r="A193" t="s">
        <v>212</v>
      </c>
      <c r="B193" s="1">
        <v>45873</v>
      </c>
      <c r="C193" t="s">
        <v>273</v>
      </c>
      <c r="D193" t="s">
        <v>380</v>
      </c>
      <c r="E193" t="s">
        <v>439</v>
      </c>
      <c r="F193" t="s">
        <v>482</v>
      </c>
      <c r="G193">
        <v>59</v>
      </c>
      <c r="H193" t="s">
        <v>485</v>
      </c>
      <c r="I193" t="s">
        <v>492</v>
      </c>
      <c r="J193" t="s">
        <v>502</v>
      </c>
      <c r="K193" t="s">
        <v>507</v>
      </c>
      <c r="L193">
        <v>4</v>
      </c>
      <c r="M193">
        <v>2983.98</v>
      </c>
      <c r="N193">
        <v>0.15</v>
      </c>
      <c r="O193">
        <v>10145.530000000001</v>
      </c>
      <c r="P193">
        <v>7860.51</v>
      </c>
      <c r="Q193">
        <v>2285.02</v>
      </c>
      <c r="R193" t="s">
        <v>529</v>
      </c>
      <c r="S193" t="s">
        <v>534</v>
      </c>
      <c r="T193" t="s">
        <v>539</v>
      </c>
      <c r="U193">
        <v>4</v>
      </c>
      <c r="V193">
        <v>2025</v>
      </c>
      <c r="W193" s="2" t="str">
        <f t="shared" si="6"/>
        <v>Aug</v>
      </c>
      <c r="X193">
        <f t="shared" si="7"/>
        <v>0.22522431060772574</v>
      </c>
      <c r="Y193" t="str">
        <f>UPPER(Table1[[#This Row],[CustomerName]])</f>
        <v>DIYA PATEL</v>
      </c>
      <c r="Z193" t="str">
        <f t="shared" si="8"/>
        <v>Diya</v>
      </c>
    </row>
    <row r="194" spans="1:26" x14ac:dyDescent="0.3">
      <c r="A194" t="s">
        <v>213</v>
      </c>
      <c r="B194" s="1">
        <v>45678</v>
      </c>
      <c r="C194" t="s">
        <v>332</v>
      </c>
      <c r="D194" t="s">
        <v>405</v>
      </c>
      <c r="E194" t="s">
        <v>464</v>
      </c>
      <c r="F194" t="s">
        <v>482</v>
      </c>
      <c r="G194">
        <v>39</v>
      </c>
      <c r="H194" t="s">
        <v>484</v>
      </c>
      <c r="I194" t="s">
        <v>488</v>
      </c>
      <c r="J194" t="s">
        <v>502</v>
      </c>
      <c r="K194" t="s">
        <v>513</v>
      </c>
      <c r="L194">
        <v>3</v>
      </c>
      <c r="M194">
        <v>862.19</v>
      </c>
      <c r="N194">
        <v>0.08</v>
      </c>
      <c r="O194">
        <v>2379.64</v>
      </c>
      <c r="P194">
        <v>1524.98</v>
      </c>
      <c r="Q194">
        <v>854.66</v>
      </c>
      <c r="R194" t="s">
        <v>527</v>
      </c>
      <c r="S194" t="s">
        <v>535</v>
      </c>
      <c r="T194" t="s">
        <v>539</v>
      </c>
      <c r="U194">
        <v>4</v>
      </c>
      <c r="V194">
        <v>2025</v>
      </c>
      <c r="W194" s="2" t="str">
        <f t="shared" si="6"/>
        <v>Jan</v>
      </c>
      <c r="X194">
        <f t="shared" si="7"/>
        <v>0.3591551663276798</v>
      </c>
      <c r="Y194" t="str">
        <f>UPPER(Table1[[#This Row],[CustomerName]])</f>
        <v>DEV SHAH</v>
      </c>
      <c r="Z194" t="str">
        <f t="shared" si="8"/>
        <v>Dev</v>
      </c>
    </row>
    <row r="195" spans="1:26" x14ac:dyDescent="0.3">
      <c r="A195" t="s">
        <v>214</v>
      </c>
      <c r="B195" s="1">
        <v>45819</v>
      </c>
      <c r="C195" t="s">
        <v>355</v>
      </c>
      <c r="D195" t="s">
        <v>416</v>
      </c>
      <c r="E195" t="s">
        <v>475</v>
      </c>
      <c r="F195" t="s">
        <v>481</v>
      </c>
      <c r="G195">
        <v>42</v>
      </c>
      <c r="H195" t="s">
        <v>483</v>
      </c>
      <c r="I195" t="s">
        <v>490</v>
      </c>
      <c r="J195" t="s">
        <v>504</v>
      </c>
      <c r="K195" t="s">
        <v>511</v>
      </c>
      <c r="L195">
        <v>1</v>
      </c>
      <c r="M195">
        <v>230.12</v>
      </c>
      <c r="N195">
        <v>0.1</v>
      </c>
      <c r="O195">
        <v>207.11</v>
      </c>
      <c r="P195">
        <v>147.97999999999999</v>
      </c>
      <c r="Q195">
        <v>59.13</v>
      </c>
      <c r="R195" t="s">
        <v>531</v>
      </c>
      <c r="S195" t="s">
        <v>534</v>
      </c>
      <c r="T195" t="s">
        <v>540</v>
      </c>
      <c r="U195">
        <v>4</v>
      </c>
      <c r="V195">
        <v>2025</v>
      </c>
      <c r="W195" s="2" t="str">
        <f t="shared" ref="W195:W251" si="9">TEXT(B195,"mmm")</f>
        <v>Jun</v>
      </c>
      <c r="X195">
        <f t="shared" ref="X195:X251" si="10">IFERROR(Q195/O195,0)</f>
        <v>0.28550045869344792</v>
      </c>
      <c r="Y195" t="str">
        <f>UPPER(Table1[[#This Row],[CustomerName]])</f>
        <v>KHUSHI PATEL</v>
      </c>
      <c r="Z195" t="str">
        <f t="shared" ref="Z195:Z251" si="11">LEFT(E195,FIND( " ",E195)-1)</f>
        <v>Khushi</v>
      </c>
    </row>
    <row r="196" spans="1:26" x14ac:dyDescent="0.3">
      <c r="A196" t="s">
        <v>215</v>
      </c>
      <c r="B196" s="1">
        <v>45750</v>
      </c>
      <c r="C196" t="s">
        <v>272</v>
      </c>
      <c r="D196" t="s">
        <v>404</v>
      </c>
      <c r="E196" t="s">
        <v>463</v>
      </c>
      <c r="F196" t="s">
        <v>481</v>
      </c>
      <c r="G196">
        <v>32</v>
      </c>
      <c r="H196" t="s">
        <v>485</v>
      </c>
      <c r="I196" t="s">
        <v>496</v>
      </c>
      <c r="J196" t="s">
        <v>505</v>
      </c>
      <c r="K196" t="s">
        <v>520</v>
      </c>
      <c r="L196">
        <v>5</v>
      </c>
      <c r="M196">
        <v>2489.7199999999998</v>
      </c>
      <c r="N196">
        <v>0</v>
      </c>
      <c r="O196">
        <v>12448.6</v>
      </c>
      <c r="P196">
        <v>9004.25</v>
      </c>
      <c r="Q196">
        <v>3444.35</v>
      </c>
      <c r="R196" t="s">
        <v>529</v>
      </c>
      <c r="S196" t="s">
        <v>537</v>
      </c>
      <c r="T196" t="s">
        <v>540</v>
      </c>
      <c r="U196">
        <v>5</v>
      </c>
      <c r="V196">
        <v>2025</v>
      </c>
      <c r="W196" s="2" t="str">
        <f t="shared" si="9"/>
        <v>Apr</v>
      </c>
      <c r="X196">
        <f t="shared" si="10"/>
        <v>0.27668573172886912</v>
      </c>
      <c r="Y196" t="str">
        <f>UPPER(Table1[[#This Row],[CustomerName]])</f>
        <v>AARAV PATEL</v>
      </c>
      <c r="Z196" t="str">
        <f t="shared" si="11"/>
        <v>Aarav</v>
      </c>
    </row>
    <row r="197" spans="1:26" x14ac:dyDescent="0.3">
      <c r="A197" t="s">
        <v>216</v>
      </c>
      <c r="B197" s="1">
        <v>46010</v>
      </c>
      <c r="C197" t="s">
        <v>325</v>
      </c>
      <c r="D197" t="s">
        <v>371</v>
      </c>
      <c r="E197" t="s">
        <v>430</v>
      </c>
      <c r="F197" t="s">
        <v>482</v>
      </c>
      <c r="G197">
        <v>25</v>
      </c>
      <c r="H197" t="s">
        <v>483</v>
      </c>
      <c r="I197" t="s">
        <v>493</v>
      </c>
      <c r="J197" t="s">
        <v>506</v>
      </c>
      <c r="K197" t="s">
        <v>525</v>
      </c>
      <c r="L197">
        <v>2</v>
      </c>
      <c r="M197">
        <v>435.13</v>
      </c>
      <c r="N197">
        <v>0.15</v>
      </c>
      <c r="O197">
        <v>739.72</v>
      </c>
      <c r="P197">
        <v>499.73</v>
      </c>
      <c r="Q197">
        <v>239.99</v>
      </c>
      <c r="R197" t="s">
        <v>530</v>
      </c>
      <c r="S197" t="s">
        <v>532</v>
      </c>
      <c r="T197" t="s">
        <v>538</v>
      </c>
      <c r="U197">
        <v>3</v>
      </c>
      <c r="V197">
        <v>2025</v>
      </c>
      <c r="W197" s="2" t="str">
        <f t="shared" si="9"/>
        <v>Dec</v>
      </c>
      <c r="X197">
        <f t="shared" si="10"/>
        <v>0.3244335694587141</v>
      </c>
      <c r="Y197" t="str">
        <f>UPPER(Table1[[#This Row],[CustomerName]])</f>
        <v>PRIYA PATEL</v>
      </c>
      <c r="Z197" t="str">
        <f t="shared" si="11"/>
        <v>Priya</v>
      </c>
    </row>
    <row r="198" spans="1:26" x14ac:dyDescent="0.3">
      <c r="A198" t="s">
        <v>217</v>
      </c>
      <c r="B198" s="1">
        <v>45716</v>
      </c>
      <c r="C198" t="s">
        <v>356</v>
      </c>
      <c r="D198" t="s">
        <v>390</v>
      </c>
      <c r="E198" t="s">
        <v>449</v>
      </c>
      <c r="F198" t="s">
        <v>481</v>
      </c>
      <c r="G198">
        <v>54</v>
      </c>
      <c r="H198" t="s">
        <v>483</v>
      </c>
      <c r="I198" t="s">
        <v>493</v>
      </c>
      <c r="J198" t="s">
        <v>504</v>
      </c>
      <c r="K198" t="s">
        <v>509</v>
      </c>
      <c r="L198">
        <v>3</v>
      </c>
      <c r="M198">
        <v>417.23</v>
      </c>
      <c r="N198">
        <v>0.05</v>
      </c>
      <c r="O198">
        <v>1189.1099999999999</v>
      </c>
      <c r="P198">
        <v>768.52</v>
      </c>
      <c r="Q198">
        <v>420.59</v>
      </c>
      <c r="R198" t="s">
        <v>530</v>
      </c>
      <c r="S198" t="s">
        <v>532</v>
      </c>
      <c r="T198" t="s">
        <v>538</v>
      </c>
      <c r="U198">
        <v>5</v>
      </c>
      <c r="V198">
        <v>2025</v>
      </c>
      <c r="W198" s="2" t="str">
        <f t="shared" si="9"/>
        <v>Feb</v>
      </c>
      <c r="X198">
        <f t="shared" si="10"/>
        <v>0.35370150785040916</v>
      </c>
      <c r="Y198" t="str">
        <f>UPPER(Table1[[#This Row],[CustomerName]])</f>
        <v>KAVYA SHAH</v>
      </c>
      <c r="Z198" t="str">
        <f t="shared" si="11"/>
        <v>Kavya</v>
      </c>
    </row>
    <row r="199" spans="1:26" x14ac:dyDescent="0.3">
      <c r="A199" t="s">
        <v>218</v>
      </c>
      <c r="B199" s="1">
        <v>45766</v>
      </c>
      <c r="C199" t="s">
        <v>296</v>
      </c>
      <c r="D199" t="s">
        <v>396</v>
      </c>
      <c r="E199" t="s">
        <v>455</v>
      </c>
      <c r="F199" t="s">
        <v>482</v>
      </c>
      <c r="G199">
        <v>59</v>
      </c>
      <c r="H199" t="s">
        <v>486</v>
      </c>
      <c r="I199" t="s">
        <v>500</v>
      </c>
      <c r="J199" t="s">
        <v>503</v>
      </c>
      <c r="K199" t="s">
        <v>508</v>
      </c>
      <c r="L199">
        <v>2</v>
      </c>
      <c r="M199">
        <v>3754.83</v>
      </c>
      <c r="N199">
        <v>0.02</v>
      </c>
      <c r="O199">
        <v>7359.47</v>
      </c>
      <c r="P199">
        <v>5624.69</v>
      </c>
      <c r="Q199">
        <v>1734.78</v>
      </c>
      <c r="R199" t="s">
        <v>529</v>
      </c>
      <c r="S199" t="s">
        <v>534</v>
      </c>
      <c r="T199" t="s">
        <v>540</v>
      </c>
      <c r="U199">
        <v>5</v>
      </c>
      <c r="V199">
        <v>2025</v>
      </c>
      <c r="W199" s="2" t="str">
        <f t="shared" si="9"/>
        <v>Apr</v>
      </c>
      <c r="X199">
        <f t="shared" si="10"/>
        <v>0.2357207788060825</v>
      </c>
      <c r="Y199" t="str">
        <f>UPPER(Table1[[#This Row],[CustomerName]])</f>
        <v>DHRUV PATEL</v>
      </c>
      <c r="Z199" t="str">
        <f t="shared" si="11"/>
        <v>Dhruv</v>
      </c>
    </row>
    <row r="200" spans="1:26" x14ac:dyDescent="0.3">
      <c r="A200" t="s">
        <v>219</v>
      </c>
      <c r="B200" s="1">
        <v>45872</v>
      </c>
      <c r="C200" t="s">
        <v>351</v>
      </c>
      <c r="D200" t="s">
        <v>393</v>
      </c>
      <c r="E200" t="s">
        <v>452</v>
      </c>
      <c r="F200" t="s">
        <v>481</v>
      </c>
      <c r="G200">
        <v>50</v>
      </c>
      <c r="H200" t="s">
        <v>485</v>
      </c>
      <c r="I200" t="s">
        <v>496</v>
      </c>
      <c r="J200" t="s">
        <v>504</v>
      </c>
      <c r="K200" t="s">
        <v>517</v>
      </c>
      <c r="L200">
        <v>2</v>
      </c>
      <c r="M200">
        <v>307.93</v>
      </c>
      <c r="N200">
        <v>0</v>
      </c>
      <c r="O200">
        <v>615.86</v>
      </c>
      <c r="P200">
        <v>438.03</v>
      </c>
      <c r="Q200">
        <v>177.83</v>
      </c>
      <c r="R200" t="s">
        <v>531</v>
      </c>
      <c r="S200" t="s">
        <v>535</v>
      </c>
      <c r="T200" t="s">
        <v>540</v>
      </c>
      <c r="U200">
        <v>4</v>
      </c>
      <c r="V200">
        <v>2025</v>
      </c>
      <c r="W200" s="2" t="str">
        <f t="shared" si="9"/>
        <v>Aug</v>
      </c>
      <c r="X200">
        <f t="shared" si="10"/>
        <v>0.28875069009190402</v>
      </c>
      <c r="Y200" t="str">
        <f>UPPER(Table1[[#This Row],[CustomerName]])</f>
        <v>DIYA SHAH</v>
      </c>
      <c r="Z200" t="str">
        <f t="shared" si="11"/>
        <v>Diya</v>
      </c>
    </row>
    <row r="201" spans="1:26" x14ac:dyDescent="0.3">
      <c r="A201" t="s">
        <v>220</v>
      </c>
      <c r="B201" s="1">
        <v>45770</v>
      </c>
      <c r="C201" t="s">
        <v>346</v>
      </c>
      <c r="D201" t="s">
        <v>371</v>
      </c>
      <c r="E201" t="s">
        <v>430</v>
      </c>
      <c r="F201" t="s">
        <v>482</v>
      </c>
      <c r="G201">
        <v>25</v>
      </c>
      <c r="H201" t="s">
        <v>483</v>
      </c>
      <c r="I201" t="s">
        <v>493</v>
      </c>
      <c r="J201" t="s">
        <v>505</v>
      </c>
      <c r="K201" t="s">
        <v>520</v>
      </c>
      <c r="L201">
        <v>1</v>
      </c>
      <c r="M201">
        <v>2676.69</v>
      </c>
      <c r="N201">
        <v>0.1</v>
      </c>
      <c r="O201">
        <v>2409.02</v>
      </c>
      <c r="P201">
        <v>1820.58</v>
      </c>
      <c r="Q201">
        <v>588.44000000000005</v>
      </c>
      <c r="R201" t="s">
        <v>531</v>
      </c>
      <c r="S201" t="s">
        <v>534</v>
      </c>
      <c r="T201" t="s">
        <v>538</v>
      </c>
      <c r="U201">
        <v>3</v>
      </c>
      <c r="V201">
        <v>2025</v>
      </c>
      <c r="W201" s="2" t="str">
        <f t="shared" si="9"/>
        <v>Apr</v>
      </c>
      <c r="X201">
        <f t="shared" si="10"/>
        <v>0.24426530290325529</v>
      </c>
      <c r="Y201" t="str">
        <f>UPPER(Table1[[#This Row],[CustomerName]])</f>
        <v>PRIYA PATEL</v>
      </c>
      <c r="Z201" t="str">
        <f t="shared" si="11"/>
        <v>Priya</v>
      </c>
    </row>
    <row r="202" spans="1:26" x14ac:dyDescent="0.3">
      <c r="A202" t="s">
        <v>221</v>
      </c>
      <c r="B202" s="1">
        <v>45708</v>
      </c>
      <c r="C202" t="s">
        <v>353</v>
      </c>
      <c r="D202" t="s">
        <v>364</v>
      </c>
      <c r="E202" t="s">
        <v>423</v>
      </c>
      <c r="F202" t="s">
        <v>482</v>
      </c>
      <c r="G202">
        <v>35</v>
      </c>
      <c r="H202" t="s">
        <v>484</v>
      </c>
      <c r="I202" t="s">
        <v>488</v>
      </c>
      <c r="J202" t="s">
        <v>502</v>
      </c>
      <c r="K202" t="s">
        <v>514</v>
      </c>
      <c r="L202">
        <v>3</v>
      </c>
      <c r="M202">
        <v>1553.75</v>
      </c>
      <c r="N202">
        <v>0.05</v>
      </c>
      <c r="O202">
        <v>4428.1899999999996</v>
      </c>
      <c r="P202">
        <v>3401.72</v>
      </c>
      <c r="Q202">
        <v>1026.47</v>
      </c>
      <c r="R202" t="s">
        <v>530</v>
      </c>
      <c r="S202" t="s">
        <v>537</v>
      </c>
      <c r="T202" t="s">
        <v>538</v>
      </c>
      <c r="U202">
        <v>5</v>
      </c>
      <c r="V202">
        <v>2025</v>
      </c>
      <c r="W202" s="2" t="str">
        <f t="shared" si="9"/>
        <v>Feb</v>
      </c>
      <c r="X202">
        <f t="shared" si="10"/>
        <v>0.23180351339937991</v>
      </c>
      <c r="Y202" t="str">
        <f>UPPER(Table1[[#This Row],[CustomerName]])</f>
        <v>ISHA PATEL</v>
      </c>
      <c r="Z202" t="str">
        <f t="shared" si="11"/>
        <v>Isha</v>
      </c>
    </row>
    <row r="203" spans="1:26" x14ac:dyDescent="0.3">
      <c r="A203" t="s">
        <v>222</v>
      </c>
      <c r="B203" s="1">
        <v>45738</v>
      </c>
      <c r="C203" t="s">
        <v>290</v>
      </c>
      <c r="D203" t="s">
        <v>367</v>
      </c>
      <c r="E203" t="s">
        <v>426</v>
      </c>
      <c r="F203" t="s">
        <v>482</v>
      </c>
      <c r="G203">
        <v>56</v>
      </c>
      <c r="H203" t="s">
        <v>483</v>
      </c>
      <c r="I203" t="s">
        <v>490</v>
      </c>
      <c r="J203" t="s">
        <v>502</v>
      </c>
      <c r="K203" t="s">
        <v>507</v>
      </c>
      <c r="L203">
        <v>1</v>
      </c>
      <c r="M203">
        <v>2613.81</v>
      </c>
      <c r="N203">
        <v>0.02</v>
      </c>
      <c r="O203">
        <v>2561.5300000000002</v>
      </c>
      <c r="P203">
        <v>2054.42</v>
      </c>
      <c r="Q203">
        <v>507.11</v>
      </c>
      <c r="R203" t="s">
        <v>529</v>
      </c>
      <c r="S203" t="s">
        <v>532</v>
      </c>
      <c r="T203" t="s">
        <v>538</v>
      </c>
      <c r="U203">
        <v>5</v>
      </c>
      <c r="V203">
        <v>2025</v>
      </c>
      <c r="W203" s="2" t="str">
        <f t="shared" si="9"/>
        <v>Mar</v>
      </c>
      <c r="X203">
        <f t="shared" si="10"/>
        <v>0.19797152483086281</v>
      </c>
      <c r="Y203" t="str">
        <f>UPPER(Table1[[#This Row],[CustomerName]])</f>
        <v>VIVAAN PATEL</v>
      </c>
      <c r="Z203" t="str">
        <f t="shared" si="11"/>
        <v>Vivaan</v>
      </c>
    </row>
    <row r="204" spans="1:26" x14ac:dyDescent="0.3">
      <c r="A204" t="s">
        <v>223</v>
      </c>
      <c r="B204" s="1">
        <v>45934</v>
      </c>
      <c r="C204" t="s">
        <v>312</v>
      </c>
      <c r="D204" t="s">
        <v>376</v>
      </c>
      <c r="E204" t="s">
        <v>435</v>
      </c>
      <c r="F204" t="s">
        <v>481</v>
      </c>
      <c r="G204">
        <v>45</v>
      </c>
      <c r="H204" t="s">
        <v>485</v>
      </c>
      <c r="I204" t="s">
        <v>496</v>
      </c>
      <c r="J204" t="s">
        <v>503</v>
      </c>
      <c r="K204" t="s">
        <v>521</v>
      </c>
      <c r="L204">
        <v>5</v>
      </c>
      <c r="M204">
        <v>8676.5499999999993</v>
      </c>
      <c r="N204">
        <v>0.1</v>
      </c>
      <c r="O204">
        <v>39044.47</v>
      </c>
      <c r="P204">
        <v>30936.83</v>
      </c>
      <c r="Q204">
        <v>8107.64</v>
      </c>
      <c r="R204" t="s">
        <v>527</v>
      </c>
      <c r="S204" t="s">
        <v>536</v>
      </c>
      <c r="T204" t="s">
        <v>538</v>
      </c>
      <c r="U204">
        <v>5</v>
      </c>
      <c r="V204">
        <v>2025</v>
      </c>
      <c r="W204" s="2" t="str">
        <f t="shared" si="9"/>
        <v>Oct</v>
      </c>
      <c r="X204">
        <f t="shared" si="10"/>
        <v>0.20765142925489832</v>
      </c>
      <c r="Y204" t="str">
        <f>UPPER(Table1[[#This Row],[CustomerName]])</f>
        <v>MEERA PATEL</v>
      </c>
      <c r="Z204" t="str">
        <f t="shared" si="11"/>
        <v>Meera</v>
      </c>
    </row>
    <row r="205" spans="1:26" x14ac:dyDescent="0.3">
      <c r="A205" t="s">
        <v>224</v>
      </c>
      <c r="B205" s="1">
        <v>45829</v>
      </c>
      <c r="C205" t="s">
        <v>291</v>
      </c>
      <c r="D205" t="s">
        <v>376</v>
      </c>
      <c r="E205" t="s">
        <v>435</v>
      </c>
      <c r="F205" t="s">
        <v>481</v>
      </c>
      <c r="G205">
        <v>45</v>
      </c>
      <c r="H205" t="s">
        <v>485</v>
      </c>
      <c r="I205" t="s">
        <v>496</v>
      </c>
      <c r="J205" t="s">
        <v>505</v>
      </c>
      <c r="K205" t="s">
        <v>520</v>
      </c>
      <c r="L205">
        <v>2</v>
      </c>
      <c r="M205">
        <v>2448.02</v>
      </c>
      <c r="N205">
        <v>0.15</v>
      </c>
      <c r="O205">
        <v>4161.63</v>
      </c>
      <c r="P205">
        <v>3167.49</v>
      </c>
      <c r="Q205">
        <v>994.14</v>
      </c>
      <c r="R205" t="s">
        <v>529</v>
      </c>
      <c r="S205" t="s">
        <v>533</v>
      </c>
      <c r="T205" t="s">
        <v>540</v>
      </c>
      <c r="U205">
        <v>4</v>
      </c>
      <c r="V205">
        <v>2025</v>
      </c>
      <c r="W205" s="2" t="str">
        <f t="shared" si="9"/>
        <v>Jun</v>
      </c>
      <c r="X205">
        <f t="shared" si="10"/>
        <v>0.23888236099797433</v>
      </c>
      <c r="Y205" t="str">
        <f>UPPER(Table1[[#This Row],[CustomerName]])</f>
        <v>MEERA PATEL</v>
      </c>
      <c r="Z205" t="str">
        <f t="shared" si="11"/>
        <v>Meera</v>
      </c>
    </row>
    <row r="206" spans="1:26" x14ac:dyDescent="0.3">
      <c r="A206" t="s">
        <v>225</v>
      </c>
      <c r="B206" s="1">
        <v>45713</v>
      </c>
      <c r="C206" t="s">
        <v>334</v>
      </c>
      <c r="D206" t="s">
        <v>415</v>
      </c>
      <c r="E206" t="s">
        <v>474</v>
      </c>
      <c r="F206" t="s">
        <v>481</v>
      </c>
      <c r="G206">
        <v>41</v>
      </c>
      <c r="H206" t="s">
        <v>485</v>
      </c>
      <c r="I206" t="s">
        <v>489</v>
      </c>
      <c r="J206" t="s">
        <v>504</v>
      </c>
      <c r="K206" t="s">
        <v>516</v>
      </c>
      <c r="L206">
        <v>5</v>
      </c>
      <c r="M206">
        <v>902.48</v>
      </c>
      <c r="N206">
        <v>0.02</v>
      </c>
      <c r="O206">
        <v>4422.1499999999996</v>
      </c>
      <c r="P206">
        <v>3305.03</v>
      </c>
      <c r="Q206">
        <v>1117.1199999999999</v>
      </c>
      <c r="R206" t="s">
        <v>528</v>
      </c>
      <c r="S206" t="s">
        <v>534</v>
      </c>
      <c r="T206" t="s">
        <v>538</v>
      </c>
      <c r="U206">
        <v>4</v>
      </c>
      <c r="V206">
        <v>2025</v>
      </c>
      <c r="W206" s="2" t="str">
        <f t="shared" si="9"/>
        <v>Feb</v>
      </c>
      <c r="X206">
        <f t="shared" si="10"/>
        <v>0.25261920106735414</v>
      </c>
      <c r="Y206" t="str">
        <f>UPPER(Table1[[#This Row],[CustomerName]])</f>
        <v>KRISH PATEL</v>
      </c>
      <c r="Z206" t="str">
        <f t="shared" si="11"/>
        <v>Krish</v>
      </c>
    </row>
    <row r="207" spans="1:26" x14ac:dyDescent="0.3">
      <c r="A207" t="s">
        <v>226</v>
      </c>
      <c r="B207" s="1">
        <v>45721</v>
      </c>
      <c r="C207" t="s">
        <v>339</v>
      </c>
      <c r="D207" t="s">
        <v>421</v>
      </c>
      <c r="E207" t="s">
        <v>480</v>
      </c>
      <c r="F207" t="s">
        <v>481</v>
      </c>
      <c r="G207">
        <v>56</v>
      </c>
      <c r="H207" t="s">
        <v>483</v>
      </c>
      <c r="I207" t="s">
        <v>493</v>
      </c>
      <c r="J207" t="s">
        <v>503</v>
      </c>
      <c r="K207" t="s">
        <v>523</v>
      </c>
      <c r="L207">
        <v>4</v>
      </c>
      <c r="M207">
        <v>1817.19</v>
      </c>
      <c r="N207">
        <v>0.08</v>
      </c>
      <c r="O207">
        <v>6687.26</v>
      </c>
      <c r="P207">
        <v>4369.9399999999996</v>
      </c>
      <c r="Q207">
        <v>2317.3200000000002</v>
      </c>
      <c r="R207" t="s">
        <v>531</v>
      </c>
      <c r="S207" t="s">
        <v>535</v>
      </c>
      <c r="T207" t="s">
        <v>540</v>
      </c>
      <c r="U207">
        <v>5</v>
      </c>
      <c r="V207">
        <v>2025</v>
      </c>
      <c r="W207" s="2" t="str">
        <f t="shared" si="9"/>
        <v>Mar</v>
      </c>
      <c r="X207">
        <f t="shared" si="10"/>
        <v>0.34652757631675757</v>
      </c>
      <c r="Y207" t="str">
        <f>UPPER(Table1[[#This Row],[CustomerName]])</f>
        <v>DHRUV SHAH</v>
      </c>
      <c r="Z207" t="str">
        <f t="shared" si="11"/>
        <v>Dhruv</v>
      </c>
    </row>
    <row r="208" spans="1:26" x14ac:dyDescent="0.3">
      <c r="A208" t="s">
        <v>227</v>
      </c>
      <c r="B208" s="1">
        <v>45732</v>
      </c>
      <c r="C208" t="s">
        <v>320</v>
      </c>
      <c r="D208" t="s">
        <v>384</v>
      </c>
      <c r="E208" t="s">
        <v>443</v>
      </c>
      <c r="F208" t="s">
        <v>482</v>
      </c>
      <c r="G208">
        <v>28</v>
      </c>
      <c r="H208" t="s">
        <v>484</v>
      </c>
      <c r="I208" t="s">
        <v>488</v>
      </c>
      <c r="J208" t="s">
        <v>505</v>
      </c>
      <c r="K208" t="s">
        <v>510</v>
      </c>
      <c r="L208">
        <v>3</v>
      </c>
      <c r="M208">
        <v>29462.34</v>
      </c>
      <c r="N208">
        <v>0.02</v>
      </c>
      <c r="O208">
        <v>86619.28</v>
      </c>
      <c r="P208">
        <v>60554.400000000001</v>
      </c>
      <c r="Q208">
        <v>26064.880000000001</v>
      </c>
      <c r="R208" t="s">
        <v>528</v>
      </c>
      <c r="S208" t="s">
        <v>535</v>
      </c>
      <c r="T208" t="s">
        <v>538</v>
      </c>
      <c r="U208">
        <v>4</v>
      </c>
      <c r="V208">
        <v>2025</v>
      </c>
      <c r="W208" s="2" t="str">
        <f t="shared" si="9"/>
        <v>Mar</v>
      </c>
      <c r="X208">
        <f t="shared" si="10"/>
        <v>0.30091314543367254</v>
      </c>
      <c r="Y208" t="str">
        <f>UPPER(Table1[[#This Row],[CustomerName]])</f>
        <v>ADITYA PATEL</v>
      </c>
      <c r="Z208" t="str">
        <f t="shared" si="11"/>
        <v>Aditya</v>
      </c>
    </row>
    <row r="209" spans="1:26" x14ac:dyDescent="0.3">
      <c r="A209" t="s">
        <v>228</v>
      </c>
      <c r="B209" s="1">
        <v>45779</v>
      </c>
      <c r="C209" t="s">
        <v>283</v>
      </c>
      <c r="D209" t="s">
        <v>379</v>
      </c>
      <c r="E209" t="s">
        <v>438</v>
      </c>
      <c r="F209" t="s">
        <v>482</v>
      </c>
      <c r="G209">
        <v>49</v>
      </c>
      <c r="H209" t="s">
        <v>486</v>
      </c>
      <c r="I209" t="s">
        <v>497</v>
      </c>
      <c r="J209" t="s">
        <v>503</v>
      </c>
      <c r="K209" t="s">
        <v>521</v>
      </c>
      <c r="L209">
        <v>4</v>
      </c>
      <c r="M209">
        <v>9712.6</v>
      </c>
      <c r="N209">
        <v>0</v>
      </c>
      <c r="O209">
        <v>38850.400000000001</v>
      </c>
      <c r="P209">
        <v>31733.11</v>
      </c>
      <c r="Q209">
        <v>7117.29</v>
      </c>
      <c r="R209" t="s">
        <v>530</v>
      </c>
      <c r="S209" t="s">
        <v>534</v>
      </c>
      <c r="T209" t="s">
        <v>539</v>
      </c>
      <c r="U209">
        <v>4</v>
      </c>
      <c r="V209">
        <v>2025</v>
      </c>
      <c r="W209" s="2" t="str">
        <f t="shared" si="9"/>
        <v>May</v>
      </c>
      <c r="X209">
        <f t="shared" si="10"/>
        <v>0.1831973415975125</v>
      </c>
      <c r="Y209" t="str">
        <f>UPPER(Table1[[#This Row],[CustomerName]])</f>
        <v>RAHUL SHAH</v>
      </c>
      <c r="Z209" t="str">
        <f t="shared" si="11"/>
        <v>Rahul</v>
      </c>
    </row>
    <row r="210" spans="1:26" x14ac:dyDescent="0.3">
      <c r="A210" t="s">
        <v>229</v>
      </c>
      <c r="B210" s="1">
        <v>45881</v>
      </c>
      <c r="C210" t="s">
        <v>299</v>
      </c>
      <c r="D210" t="s">
        <v>391</v>
      </c>
      <c r="E210" t="s">
        <v>450</v>
      </c>
      <c r="F210" t="s">
        <v>481</v>
      </c>
      <c r="G210">
        <v>30</v>
      </c>
      <c r="H210" t="s">
        <v>486</v>
      </c>
      <c r="I210" t="s">
        <v>497</v>
      </c>
      <c r="J210" t="s">
        <v>504</v>
      </c>
      <c r="K210" t="s">
        <v>509</v>
      </c>
      <c r="L210">
        <v>1</v>
      </c>
      <c r="M210">
        <v>452.32</v>
      </c>
      <c r="N210">
        <v>0.1</v>
      </c>
      <c r="O210">
        <v>407.09</v>
      </c>
      <c r="P210">
        <v>314.43</v>
      </c>
      <c r="Q210">
        <v>92.66</v>
      </c>
      <c r="R210" t="s">
        <v>528</v>
      </c>
      <c r="S210" t="s">
        <v>534</v>
      </c>
      <c r="T210" t="s">
        <v>538</v>
      </c>
      <c r="U210">
        <v>5</v>
      </c>
      <c r="V210">
        <v>2025</v>
      </c>
      <c r="W210" s="2" t="str">
        <f t="shared" si="9"/>
        <v>Aug</v>
      </c>
      <c r="X210">
        <f t="shared" si="10"/>
        <v>0.22761551499668378</v>
      </c>
      <c r="Y210" t="str">
        <f>UPPER(Table1[[#This Row],[CustomerName]])</f>
        <v>MANAV SHAH</v>
      </c>
      <c r="Z210" t="str">
        <f t="shared" si="11"/>
        <v>Manav</v>
      </c>
    </row>
    <row r="211" spans="1:26" x14ac:dyDescent="0.3">
      <c r="A211" t="s">
        <v>230</v>
      </c>
      <c r="B211" s="1">
        <v>45708</v>
      </c>
      <c r="C211" t="s">
        <v>303</v>
      </c>
      <c r="D211" t="s">
        <v>391</v>
      </c>
      <c r="E211" t="s">
        <v>450</v>
      </c>
      <c r="F211" t="s">
        <v>481</v>
      </c>
      <c r="G211">
        <v>30</v>
      </c>
      <c r="H211" t="s">
        <v>486</v>
      </c>
      <c r="I211" t="s">
        <v>497</v>
      </c>
      <c r="J211" t="s">
        <v>502</v>
      </c>
      <c r="K211" t="s">
        <v>507</v>
      </c>
      <c r="L211">
        <v>4</v>
      </c>
      <c r="M211">
        <v>2681.3</v>
      </c>
      <c r="N211">
        <v>0.05</v>
      </c>
      <c r="O211">
        <v>10188.94</v>
      </c>
      <c r="P211">
        <v>7453.64</v>
      </c>
      <c r="Q211">
        <v>2735.3</v>
      </c>
      <c r="R211" t="s">
        <v>528</v>
      </c>
      <c r="S211" t="s">
        <v>532</v>
      </c>
      <c r="T211" t="s">
        <v>538</v>
      </c>
      <c r="U211">
        <v>3</v>
      </c>
      <c r="V211">
        <v>2025</v>
      </c>
      <c r="W211" s="2" t="str">
        <f t="shared" si="9"/>
        <v>Feb</v>
      </c>
      <c r="X211">
        <f t="shared" si="10"/>
        <v>0.2684577590995727</v>
      </c>
      <c r="Y211" t="str">
        <f>UPPER(Table1[[#This Row],[CustomerName]])</f>
        <v>MANAV SHAH</v>
      </c>
      <c r="Z211" t="str">
        <f t="shared" si="11"/>
        <v>Manav</v>
      </c>
    </row>
    <row r="212" spans="1:26" x14ac:dyDescent="0.3">
      <c r="A212" t="s">
        <v>231</v>
      </c>
      <c r="B212" s="1">
        <v>45768</v>
      </c>
      <c r="C212" t="s">
        <v>357</v>
      </c>
      <c r="D212" t="s">
        <v>388</v>
      </c>
      <c r="E212" t="s">
        <v>447</v>
      </c>
      <c r="F212" t="s">
        <v>482</v>
      </c>
      <c r="G212">
        <v>43</v>
      </c>
      <c r="H212" t="s">
        <v>486</v>
      </c>
      <c r="I212" t="s">
        <v>500</v>
      </c>
      <c r="J212" t="s">
        <v>505</v>
      </c>
      <c r="K212" t="s">
        <v>518</v>
      </c>
      <c r="L212">
        <v>1</v>
      </c>
      <c r="M212">
        <v>57064.29</v>
      </c>
      <c r="N212">
        <v>0.02</v>
      </c>
      <c r="O212">
        <v>55923</v>
      </c>
      <c r="P212">
        <v>41644.81</v>
      </c>
      <c r="Q212">
        <v>14278.19</v>
      </c>
      <c r="R212" t="s">
        <v>529</v>
      </c>
      <c r="S212" t="s">
        <v>533</v>
      </c>
      <c r="T212" t="s">
        <v>538</v>
      </c>
      <c r="U212">
        <v>5</v>
      </c>
      <c r="V212">
        <v>2025</v>
      </c>
      <c r="W212" s="2" t="str">
        <f t="shared" si="9"/>
        <v>Apr</v>
      </c>
      <c r="X212">
        <f t="shared" si="10"/>
        <v>0.25531874184146058</v>
      </c>
      <c r="Y212" t="str">
        <f>UPPER(Table1[[#This Row],[CustomerName]])</f>
        <v>ARJUN SHAH</v>
      </c>
      <c r="Z212" t="str">
        <f t="shared" si="11"/>
        <v>Arjun</v>
      </c>
    </row>
    <row r="213" spans="1:26" x14ac:dyDescent="0.3">
      <c r="A213" t="s">
        <v>232</v>
      </c>
      <c r="B213" s="1">
        <v>45941</v>
      </c>
      <c r="C213" t="s">
        <v>284</v>
      </c>
      <c r="D213" t="s">
        <v>396</v>
      </c>
      <c r="E213" t="s">
        <v>455</v>
      </c>
      <c r="F213" t="s">
        <v>482</v>
      </c>
      <c r="G213">
        <v>59</v>
      </c>
      <c r="H213" t="s">
        <v>486</v>
      </c>
      <c r="I213" t="s">
        <v>500</v>
      </c>
      <c r="J213" t="s">
        <v>506</v>
      </c>
      <c r="K213" t="s">
        <v>524</v>
      </c>
      <c r="L213">
        <v>3</v>
      </c>
      <c r="M213">
        <v>517.65</v>
      </c>
      <c r="N213">
        <v>0.05</v>
      </c>
      <c r="O213">
        <v>1475.3</v>
      </c>
      <c r="P213">
        <v>1183.03</v>
      </c>
      <c r="Q213">
        <v>292.27</v>
      </c>
      <c r="R213" t="s">
        <v>528</v>
      </c>
      <c r="S213" t="s">
        <v>537</v>
      </c>
      <c r="T213" t="s">
        <v>538</v>
      </c>
      <c r="U213">
        <v>5</v>
      </c>
      <c r="V213">
        <v>2025</v>
      </c>
      <c r="W213" s="2" t="str">
        <f t="shared" si="9"/>
        <v>Oct</v>
      </c>
      <c r="X213">
        <f t="shared" si="10"/>
        <v>0.1981088592150749</v>
      </c>
      <c r="Y213" t="str">
        <f>UPPER(Table1[[#This Row],[CustomerName]])</f>
        <v>DHRUV PATEL</v>
      </c>
      <c r="Z213" t="str">
        <f t="shared" si="11"/>
        <v>Dhruv</v>
      </c>
    </row>
    <row r="214" spans="1:26" x14ac:dyDescent="0.3">
      <c r="A214" t="s">
        <v>233</v>
      </c>
      <c r="B214" s="1">
        <v>45903</v>
      </c>
      <c r="C214" t="s">
        <v>355</v>
      </c>
      <c r="D214" t="s">
        <v>389</v>
      </c>
      <c r="E214" t="s">
        <v>448</v>
      </c>
      <c r="F214" t="s">
        <v>481</v>
      </c>
      <c r="G214">
        <v>57</v>
      </c>
      <c r="H214" t="s">
        <v>484</v>
      </c>
      <c r="I214" t="s">
        <v>491</v>
      </c>
      <c r="J214" t="s">
        <v>505</v>
      </c>
      <c r="K214" t="s">
        <v>518</v>
      </c>
      <c r="L214">
        <v>4</v>
      </c>
      <c r="M214">
        <v>54707.68</v>
      </c>
      <c r="N214">
        <v>0.02</v>
      </c>
      <c r="O214">
        <v>214454.11</v>
      </c>
      <c r="P214">
        <v>173452.29</v>
      </c>
      <c r="Q214">
        <v>41001.82</v>
      </c>
      <c r="R214" t="s">
        <v>529</v>
      </c>
      <c r="S214" t="s">
        <v>534</v>
      </c>
      <c r="T214" t="s">
        <v>538</v>
      </c>
      <c r="U214">
        <v>5</v>
      </c>
      <c r="V214">
        <v>2025</v>
      </c>
      <c r="W214" s="2" t="str">
        <f t="shared" si="9"/>
        <v>Sep</v>
      </c>
      <c r="X214">
        <f t="shared" si="10"/>
        <v>0.19119157940129944</v>
      </c>
      <c r="Y214" t="str">
        <f>UPPER(Table1[[#This Row],[CustomerName]])</f>
        <v>KAVYA PATEL</v>
      </c>
      <c r="Z214" t="str">
        <f t="shared" si="11"/>
        <v>Kavya</v>
      </c>
    </row>
    <row r="215" spans="1:26" x14ac:dyDescent="0.3">
      <c r="A215" t="s">
        <v>234</v>
      </c>
      <c r="B215" s="1">
        <v>45965</v>
      </c>
      <c r="C215" t="s">
        <v>341</v>
      </c>
      <c r="D215" t="s">
        <v>394</v>
      </c>
      <c r="E215" t="s">
        <v>453</v>
      </c>
      <c r="F215" t="s">
        <v>481</v>
      </c>
      <c r="G215">
        <v>18</v>
      </c>
      <c r="H215" t="s">
        <v>485</v>
      </c>
      <c r="I215" t="s">
        <v>496</v>
      </c>
      <c r="J215" t="s">
        <v>503</v>
      </c>
      <c r="K215" t="s">
        <v>523</v>
      </c>
      <c r="L215">
        <v>3</v>
      </c>
      <c r="M215">
        <v>1714.53</v>
      </c>
      <c r="N215">
        <v>0.05</v>
      </c>
      <c r="O215">
        <v>4886.41</v>
      </c>
      <c r="P215">
        <v>3529.23</v>
      </c>
      <c r="Q215">
        <v>1357.18</v>
      </c>
      <c r="R215" t="s">
        <v>529</v>
      </c>
      <c r="S215" t="s">
        <v>534</v>
      </c>
      <c r="T215" t="s">
        <v>538</v>
      </c>
      <c r="U215">
        <v>5</v>
      </c>
      <c r="V215">
        <v>2025</v>
      </c>
      <c r="W215" s="2" t="str">
        <f t="shared" si="9"/>
        <v>Nov</v>
      </c>
      <c r="X215">
        <f t="shared" si="10"/>
        <v>0.27774582976049905</v>
      </c>
      <c r="Y215" t="str">
        <f>UPPER(Table1[[#This Row],[CustomerName]])</f>
        <v>HARSH SHAH</v>
      </c>
      <c r="Z215" t="str">
        <f t="shared" si="11"/>
        <v>Harsh</v>
      </c>
    </row>
    <row r="216" spans="1:26" x14ac:dyDescent="0.3">
      <c r="A216" t="s">
        <v>235</v>
      </c>
      <c r="B216" s="1">
        <v>45876</v>
      </c>
      <c r="C216" t="s">
        <v>358</v>
      </c>
      <c r="D216" t="s">
        <v>397</v>
      </c>
      <c r="E216" t="s">
        <v>456</v>
      </c>
      <c r="F216" t="s">
        <v>482</v>
      </c>
      <c r="G216">
        <v>24</v>
      </c>
      <c r="H216" t="s">
        <v>485</v>
      </c>
      <c r="I216" t="s">
        <v>489</v>
      </c>
      <c r="J216" t="s">
        <v>504</v>
      </c>
      <c r="K216" t="s">
        <v>516</v>
      </c>
      <c r="L216">
        <v>4</v>
      </c>
      <c r="M216">
        <v>944.15</v>
      </c>
      <c r="N216">
        <v>0.05</v>
      </c>
      <c r="O216">
        <v>3587.77</v>
      </c>
      <c r="P216">
        <v>2368.27</v>
      </c>
      <c r="Q216">
        <v>1219.5</v>
      </c>
      <c r="R216" t="s">
        <v>529</v>
      </c>
      <c r="S216" t="s">
        <v>536</v>
      </c>
      <c r="T216" t="s">
        <v>540</v>
      </c>
      <c r="U216">
        <v>5</v>
      </c>
      <c r="V216">
        <v>2025</v>
      </c>
      <c r="W216" s="2" t="str">
        <f t="shared" si="9"/>
        <v>Aug</v>
      </c>
      <c r="X216">
        <f t="shared" si="10"/>
        <v>0.33990473190867865</v>
      </c>
      <c r="Y216" t="str">
        <f>UPPER(Table1[[#This Row],[CustomerName]])</f>
        <v>HARSH PATEL</v>
      </c>
      <c r="Z216" t="str">
        <f t="shared" si="11"/>
        <v>Harsh</v>
      </c>
    </row>
    <row r="217" spans="1:26" x14ac:dyDescent="0.3">
      <c r="A217" t="s">
        <v>236</v>
      </c>
      <c r="B217" s="1">
        <v>46009</v>
      </c>
      <c r="C217" t="s">
        <v>329</v>
      </c>
      <c r="D217" t="s">
        <v>366</v>
      </c>
      <c r="E217" t="s">
        <v>425</v>
      </c>
      <c r="F217" t="s">
        <v>482</v>
      </c>
      <c r="G217">
        <v>22</v>
      </c>
      <c r="H217" t="s">
        <v>483</v>
      </c>
      <c r="I217" t="s">
        <v>490</v>
      </c>
      <c r="J217" t="s">
        <v>503</v>
      </c>
      <c r="K217" t="s">
        <v>521</v>
      </c>
      <c r="L217">
        <v>3</v>
      </c>
      <c r="M217">
        <v>8324.34</v>
      </c>
      <c r="N217">
        <v>0.15</v>
      </c>
      <c r="O217">
        <v>21227.07</v>
      </c>
      <c r="P217">
        <v>14097.94</v>
      </c>
      <c r="Q217">
        <v>7129.13</v>
      </c>
      <c r="R217" t="s">
        <v>531</v>
      </c>
      <c r="S217" t="s">
        <v>537</v>
      </c>
      <c r="T217" t="s">
        <v>538</v>
      </c>
      <c r="U217">
        <v>5</v>
      </c>
      <c r="V217">
        <v>2025</v>
      </c>
      <c r="W217" s="2" t="str">
        <f t="shared" si="9"/>
        <v>Dec</v>
      </c>
      <c r="X217">
        <f t="shared" si="10"/>
        <v>0.33585087343660713</v>
      </c>
      <c r="Y217" t="str">
        <f>UPPER(Table1[[#This Row],[CustomerName]])</f>
        <v>ADITYA SHAH</v>
      </c>
      <c r="Z217" t="str">
        <f t="shared" si="11"/>
        <v>Aditya</v>
      </c>
    </row>
    <row r="218" spans="1:26" x14ac:dyDescent="0.3">
      <c r="A218" t="s">
        <v>237</v>
      </c>
      <c r="B218" s="1">
        <v>45955</v>
      </c>
      <c r="C218" t="s">
        <v>339</v>
      </c>
      <c r="D218" t="s">
        <v>385</v>
      </c>
      <c r="E218" t="s">
        <v>444</v>
      </c>
      <c r="F218" t="s">
        <v>481</v>
      </c>
      <c r="G218">
        <v>19</v>
      </c>
      <c r="H218" t="s">
        <v>483</v>
      </c>
      <c r="I218" t="s">
        <v>493</v>
      </c>
      <c r="J218" t="s">
        <v>506</v>
      </c>
      <c r="K218" t="s">
        <v>525</v>
      </c>
      <c r="L218">
        <v>3</v>
      </c>
      <c r="M218">
        <v>429.17</v>
      </c>
      <c r="N218">
        <v>0</v>
      </c>
      <c r="O218">
        <v>1287.51</v>
      </c>
      <c r="P218">
        <v>1002.56</v>
      </c>
      <c r="Q218">
        <v>284.95</v>
      </c>
      <c r="R218" t="s">
        <v>528</v>
      </c>
      <c r="S218" t="s">
        <v>534</v>
      </c>
      <c r="T218" t="s">
        <v>540</v>
      </c>
      <c r="U218">
        <v>5</v>
      </c>
      <c r="V218">
        <v>2025</v>
      </c>
      <c r="W218" s="2" t="str">
        <f t="shared" si="9"/>
        <v>Oct</v>
      </c>
      <c r="X218">
        <f t="shared" si="10"/>
        <v>0.2213186693695583</v>
      </c>
      <c r="Y218" t="str">
        <f>UPPER(Table1[[#This Row],[CustomerName]])</f>
        <v>KHUSHI SHAH</v>
      </c>
      <c r="Z218" t="str">
        <f t="shared" si="11"/>
        <v>Khushi</v>
      </c>
    </row>
    <row r="219" spans="1:26" x14ac:dyDescent="0.3">
      <c r="A219" t="s">
        <v>238</v>
      </c>
      <c r="B219" s="1">
        <v>45984</v>
      </c>
      <c r="C219" t="s">
        <v>359</v>
      </c>
      <c r="D219" t="s">
        <v>405</v>
      </c>
      <c r="E219" t="s">
        <v>464</v>
      </c>
      <c r="F219" t="s">
        <v>482</v>
      </c>
      <c r="G219">
        <v>39</v>
      </c>
      <c r="H219" t="s">
        <v>484</v>
      </c>
      <c r="I219" t="s">
        <v>488</v>
      </c>
      <c r="J219" t="s">
        <v>506</v>
      </c>
      <c r="K219" t="s">
        <v>525</v>
      </c>
      <c r="L219">
        <v>5</v>
      </c>
      <c r="M219">
        <v>467.31</v>
      </c>
      <c r="N219">
        <v>0.1</v>
      </c>
      <c r="O219">
        <v>2102.9</v>
      </c>
      <c r="P219">
        <v>1306.18</v>
      </c>
      <c r="Q219">
        <v>796.72</v>
      </c>
      <c r="R219" t="s">
        <v>530</v>
      </c>
      <c r="S219" t="s">
        <v>536</v>
      </c>
      <c r="T219" t="s">
        <v>538</v>
      </c>
      <c r="U219">
        <v>5</v>
      </c>
      <c r="V219">
        <v>2025</v>
      </c>
      <c r="W219" s="2" t="str">
        <f t="shared" si="9"/>
        <v>Nov</v>
      </c>
      <c r="X219">
        <f t="shared" si="10"/>
        <v>0.37886727852013885</v>
      </c>
      <c r="Y219" t="str">
        <f>UPPER(Table1[[#This Row],[CustomerName]])</f>
        <v>DEV SHAH</v>
      </c>
      <c r="Z219" t="str">
        <f t="shared" si="11"/>
        <v>Dev</v>
      </c>
    </row>
    <row r="220" spans="1:26" x14ac:dyDescent="0.3">
      <c r="A220" t="s">
        <v>239</v>
      </c>
      <c r="B220" s="1">
        <v>45692</v>
      </c>
      <c r="C220" t="s">
        <v>321</v>
      </c>
      <c r="D220" t="s">
        <v>395</v>
      </c>
      <c r="E220" t="s">
        <v>454</v>
      </c>
      <c r="F220" t="s">
        <v>481</v>
      </c>
      <c r="G220">
        <v>49</v>
      </c>
      <c r="H220" t="s">
        <v>485</v>
      </c>
      <c r="I220" t="s">
        <v>498</v>
      </c>
      <c r="J220" t="s">
        <v>505</v>
      </c>
      <c r="K220" t="s">
        <v>518</v>
      </c>
      <c r="L220">
        <v>2</v>
      </c>
      <c r="M220">
        <v>51283.31</v>
      </c>
      <c r="N220">
        <v>0.08</v>
      </c>
      <c r="O220">
        <v>94361.29</v>
      </c>
      <c r="P220">
        <v>66187.02</v>
      </c>
      <c r="Q220">
        <v>28174.27</v>
      </c>
      <c r="R220" t="s">
        <v>528</v>
      </c>
      <c r="S220" t="s">
        <v>534</v>
      </c>
      <c r="T220" t="s">
        <v>538</v>
      </c>
      <c r="U220">
        <v>5</v>
      </c>
      <c r="V220">
        <v>2025</v>
      </c>
      <c r="W220" s="2" t="str">
        <f t="shared" si="9"/>
        <v>Feb</v>
      </c>
      <c r="X220">
        <f t="shared" si="10"/>
        <v>0.29857868623881684</v>
      </c>
      <c r="Y220" t="str">
        <f>UPPER(Table1[[#This Row],[CustomerName]])</f>
        <v>ROHAN SHAH</v>
      </c>
      <c r="Z220" t="str">
        <f t="shared" si="11"/>
        <v>Rohan</v>
      </c>
    </row>
    <row r="221" spans="1:26" x14ac:dyDescent="0.3">
      <c r="A221" t="s">
        <v>240</v>
      </c>
      <c r="B221" s="1">
        <v>45830</v>
      </c>
      <c r="C221" t="s">
        <v>323</v>
      </c>
      <c r="D221" t="s">
        <v>387</v>
      </c>
      <c r="E221" t="s">
        <v>446</v>
      </c>
      <c r="F221" t="s">
        <v>482</v>
      </c>
      <c r="G221">
        <v>19</v>
      </c>
      <c r="H221" t="s">
        <v>485</v>
      </c>
      <c r="I221" t="s">
        <v>492</v>
      </c>
      <c r="J221" t="s">
        <v>504</v>
      </c>
      <c r="K221" t="s">
        <v>516</v>
      </c>
      <c r="L221">
        <v>2</v>
      </c>
      <c r="M221">
        <v>839.07</v>
      </c>
      <c r="N221">
        <v>0.02</v>
      </c>
      <c r="O221">
        <v>1644.58</v>
      </c>
      <c r="P221">
        <v>1280.97</v>
      </c>
      <c r="Q221">
        <v>363.61</v>
      </c>
      <c r="R221" t="s">
        <v>527</v>
      </c>
      <c r="S221" t="s">
        <v>533</v>
      </c>
      <c r="T221" t="s">
        <v>540</v>
      </c>
      <c r="U221">
        <v>4</v>
      </c>
      <c r="V221">
        <v>2025</v>
      </c>
      <c r="W221" s="2" t="str">
        <f t="shared" si="9"/>
        <v>Jun</v>
      </c>
      <c r="X221">
        <f t="shared" si="10"/>
        <v>0.22109596371109952</v>
      </c>
      <c r="Y221" t="str">
        <f>UPPER(Table1[[#This Row],[CustomerName]])</f>
        <v>ARYAN PATEL</v>
      </c>
      <c r="Z221" t="str">
        <f t="shared" si="11"/>
        <v>Aryan</v>
      </c>
    </row>
    <row r="222" spans="1:26" x14ac:dyDescent="0.3">
      <c r="A222" t="s">
        <v>241</v>
      </c>
      <c r="B222" s="1">
        <v>45947</v>
      </c>
      <c r="C222" t="s">
        <v>359</v>
      </c>
      <c r="D222" t="s">
        <v>393</v>
      </c>
      <c r="E222" t="s">
        <v>452</v>
      </c>
      <c r="F222" t="s">
        <v>481</v>
      </c>
      <c r="G222">
        <v>50</v>
      </c>
      <c r="H222" t="s">
        <v>485</v>
      </c>
      <c r="I222" t="s">
        <v>496</v>
      </c>
      <c r="J222" t="s">
        <v>506</v>
      </c>
      <c r="K222" t="s">
        <v>524</v>
      </c>
      <c r="L222">
        <v>3</v>
      </c>
      <c r="M222">
        <v>507.94</v>
      </c>
      <c r="N222">
        <v>0.1</v>
      </c>
      <c r="O222">
        <v>1371.44</v>
      </c>
      <c r="P222">
        <v>1081.31</v>
      </c>
      <c r="Q222">
        <v>290.13</v>
      </c>
      <c r="R222" t="s">
        <v>529</v>
      </c>
      <c r="S222" t="s">
        <v>532</v>
      </c>
      <c r="T222" t="s">
        <v>540</v>
      </c>
      <c r="U222">
        <v>3</v>
      </c>
      <c r="V222">
        <v>2025</v>
      </c>
      <c r="W222" s="2" t="str">
        <f t="shared" si="9"/>
        <v>Oct</v>
      </c>
      <c r="X222">
        <f t="shared" si="10"/>
        <v>0.21155136207198272</v>
      </c>
      <c r="Y222" t="str">
        <f>UPPER(Table1[[#This Row],[CustomerName]])</f>
        <v>DIYA SHAH</v>
      </c>
      <c r="Z222" t="str">
        <f t="shared" si="11"/>
        <v>Diya</v>
      </c>
    </row>
    <row r="223" spans="1:26" x14ac:dyDescent="0.3">
      <c r="A223" t="s">
        <v>242</v>
      </c>
      <c r="B223" s="1">
        <v>45710</v>
      </c>
      <c r="C223" t="s">
        <v>287</v>
      </c>
      <c r="D223" t="s">
        <v>369</v>
      </c>
      <c r="E223" t="s">
        <v>428</v>
      </c>
      <c r="F223" t="s">
        <v>482</v>
      </c>
      <c r="G223">
        <v>53</v>
      </c>
      <c r="H223" t="s">
        <v>485</v>
      </c>
      <c r="I223" t="s">
        <v>492</v>
      </c>
      <c r="J223" t="s">
        <v>506</v>
      </c>
      <c r="K223" t="s">
        <v>519</v>
      </c>
      <c r="L223">
        <v>1</v>
      </c>
      <c r="M223">
        <v>1242.2</v>
      </c>
      <c r="N223">
        <v>0.15</v>
      </c>
      <c r="O223">
        <v>1055.8699999999999</v>
      </c>
      <c r="P223">
        <v>750.5</v>
      </c>
      <c r="Q223">
        <v>305.37</v>
      </c>
      <c r="R223" t="s">
        <v>527</v>
      </c>
      <c r="S223" t="s">
        <v>537</v>
      </c>
      <c r="T223" t="s">
        <v>540</v>
      </c>
      <c r="U223">
        <v>5</v>
      </c>
      <c r="V223">
        <v>2025</v>
      </c>
      <c r="W223" s="2" t="str">
        <f t="shared" si="9"/>
        <v>Feb</v>
      </c>
      <c r="X223">
        <f t="shared" si="10"/>
        <v>0.28921174008163886</v>
      </c>
      <c r="Y223" t="str">
        <f>UPPER(Table1[[#This Row],[CustomerName]])</f>
        <v>RIYA PATEL</v>
      </c>
      <c r="Z223" t="str">
        <f t="shared" si="11"/>
        <v>Riya</v>
      </c>
    </row>
    <row r="224" spans="1:26" x14ac:dyDescent="0.3">
      <c r="A224" t="s">
        <v>243</v>
      </c>
      <c r="B224" s="1">
        <v>45835</v>
      </c>
      <c r="C224" t="s">
        <v>324</v>
      </c>
      <c r="D224" t="s">
        <v>397</v>
      </c>
      <c r="E224" t="s">
        <v>456</v>
      </c>
      <c r="F224" t="s">
        <v>482</v>
      </c>
      <c r="G224">
        <v>24</v>
      </c>
      <c r="H224" t="s">
        <v>485</v>
      </c>
      <c r="I224" t="s">
        <v>489</v>
      </c>
      <c r="J224" t="s">
        <v>504</v>
      </c>
      <c r="K224" t="s">
        <v>511</v>
      </c>
      <c r="L224">
        <v>4</v>
      </c>
      <c r="M224">
        <v>235.72</v>
      </c>
      <c r="N224">
        <v>0.02</v>
      </c>
      <c r="O224">
        <v>924.02</v>
      </c>
      <c r="P224">
        <v>647.08000000000004</v>
      </c>
      <c r="Q224">
        <v>276.94</v>
      </c>
      <c r="R224" t="s">
        <v>531</v>
      </c>
      <c r="S224" t="s">
        <v>533</v>
      </c>
      <c r="T224" t="s">
        <v>538</v>
      </c>
      <c r="U224">
        <v>5</v>
      </c>
      <c r="V224">
        <v>2025</v>
      </c>
      <c r="W224" s="2" t="str">
        <f t="shared" si="9"/>
        <v>Jun</v>
      </c>
      <c r="X224">
        <f t="shared" si="10"/>
        <v>0.29971212744312892</v>
      </c>
      <c r="Y224" t="str">
        <f>UPPER(Table1[[#This Row],[CustomerName]])</f>
        <v>HARSH PATEL</v>
      </c>
      <c r="Z224" t="str">
        <f t="shared" si="11"/>
        <v>Harsh</v>
      </c>
    </row>
    <row r="225" spans="1:26" x14ac:dyDescent="0.3">
      <c r="A225" t="s">
        <v>244</v>
      </c>
      <c r="B225" s="1">
        <v>45861</v>
      </c>
      <c r="C225" t="s">
        <v>351</v>
      </c>
      <c r="D225" t="s">
        <v>417</v>
      </c>
      <c r="E225" t="s">
        <v>476</v>
      </c>
      <c r="F225" t="s">
        <v>482</v>
      </c>
      <c r="G225">
        <v>23</v>
      </c>
      <c r="H225" t="s">
        <v>483</v>
      </c>
      <c r="I225" t="s">
        <v>490</v>
      </c>
      <c r="J225" t="s">
        <v>505</v>
      </c>
      <c r="K225" t="s">
        <v>518</v>
      </c>
      <c r="L225">
        <v>2</v>
      </c>
      <c r="M225">
        <v>57490.55</v>
      </c>
      <c r="N225">
        <v>0.02</v>
      </c>
      <c r="O225">
        <v>112681.48</v>
      </c>
      <c r="P225">
        <v>76086.36</v>
      </c>
      <c r="Q225">
        <v>36595.120000000003</v>
      </c>
      <c r="R225" t="s">
        <v>529</v>
      </c>
      <c r="S225" t="s">
        <v>533</v>
      </c>
      <c r="T225" t="s">
        <v>538</v>
      </c>
      <c r="U225">
        <v>4</v>
      </c>
      <c r="V225">
        <v>2025</v>
      </c>
      <c r="W225" s="2" t="str">
        <f t="shared" si="9"/>
        <v>Jul</v>
      </c>
      <c r="X225">
        <f t="shared" si="10"/>
        <v>0.32476605738582776</v>
      </c>
      <c r="Y225" t="str">
        <f>UPPER(Table1[[#This Row],[CustomerName]])</f>
        <v>ISHAAN SHAH</v>
      </c>
      <c r="Z225" t="str">
        <f t="shared" si="11"/>
        <v>Ishaan</v>
      </c>
    </row>
    <row r="226" spans="1:26" x14ac:dyDescent="0.3">
      <c r="A226" t="s">
        <v>245</v>
      </c>
      <c r="B226" s="1">
        <v>45977</v>
      </c>
      <c r="C226" t="s">
        <v>360</v>
      </c>
      <c r="D226" t="s">
        <v>394</v>
      </c>
      <c r="E226" t="s">
        <v>453</v>
      </c>
      <c r="F226" t="s">
        <v>481</v>
      </c>
      <c r="G226">
        <v>18</v>
      </c>
      <c r="H226" t="s">
        <v>485</v>
      </c>
      <c r="I226" t="s">
        <v>496</v>
      </c>
      <c r="J226" t="s">
        <v>504</v>
      </c>
      <c r="K226" t="s">
        <v>516</v>
      </c>
      <c r="L226">
        <v>3</v>
      </c>
      <c r="M226">
        <v>909.36</v>
      </c>
      <c r="N226">
        <v>0.02</v>
      </c>
      <c r="O226">
        <v>2673.52</v>
      </c>
      <c r="P226">
        <v>1825.13</v>
      </c>
      <c r="Q226">
        <v>848.39</v>
      </c>
      <c r="R226" t="s">
        <v>527</v>
      </c>
      <c r="S226" t="s">
        <v>533</v>
      </c>
      <c r="T226" t="s">
        <v>539</v>
      </c>
      <c r="U226">
        <v>4</v>
      </c>
      <c r="V226">
        <v>2025</v>
      </c>
      <c r="W226" s="2" t="str">
        <f t="shared" si="9"/>
        <v>Nov</v>
      </c>
      <c r="X226">
        <f t="shared" si="10"/>
        <v>0.31733071007510699</v>
      </c>
      <c r="Y226" t="str">
        <f>UPPER(Table1[[#This Row],[CustomerName]])</f>
        <v>HARSH SHAH</v>
      </c>
      <c r="Z226" t="str">
        <f t="shared" si="11"/>
        <v>Harsh</v>
      </c>
    </row>
    <row r="227" spans="1:26" x14ac:dyDescent="0.3">
      <c r="A227" t="s">
        <v>246</v>
      </c>
      <c r="B227" s="1">
        <v>45855</v>
      </c>
      <c r="C227" t="s">
        <v>361</v>
      </c>
      <c r="D227" t="s">
        <v>365</v>
      </c>
      <c r="E227" t="s">
        <v>424</v>
      </c>
      <c r="F227" t="s">
        <v>481</v>
      </c>
      <c r="G227">
        <v>41</v>
      </c>
      <c r="H227" t="s">
        <v>485</v>
      </c>
      <c r="I227" t="s">
        <v>489</v>
      </c>
      <c r="J227" t="s">
        <v>502</v>
      </c>
      <c r="K227" t="s">
        <v>513</v>
      </c>
      <c r="L227">
        <v>2</v>
      </c>
      <c r="M227">
        <v>834.09</v>
      </c>
      <c r="N227">
        <v>0.1</v>
      </c>
      <c r="O227">
        <v>1501.36</v>
      </c>
      <c r="P227">
        <v>1047.24</v>
      </c>
      <c r="Q227">
        <v>454.12</v>
      </c>
      <c r="R227" t="s">
        <v>528</v>
      </c>
      <c r="S227" t="s">
        <v>532</v>
      </c>
      <c r="T227" t="s">
        <v>538</v>
      </c>
      <c r="U227">
        <v>3</v>
      </c>
      <c r="V227">
        <v>2025</v>
      </c>
      <c r="W227" s="2" t="str">
        <f t="shared" si="9"/>
        <v>Jul</v>
      </c>
      <c r="X227">
        <f t="shared" si="10"/>
        <v>0.30247242500133215</v>
      </c>
      <c r="Y227" t="str">
        <f>UPPER(Table1[[#This Row],[CustomerName]])</f>
        <v>RIYA SHAH</v>
      </c>
      <c r="Z227" t="str">
        <f t="shared" si="11"/>
        <v>Riya</v>
      </c>
    </row>
    <row r="228" spans="1:26" x14ac:dyDescent="0.3">
      <c r="A228" t="s">
        <v>247</v>
      </c>
      <c r="B228" s="1">
        <v>45870</v>
      </c>
      <c r="C228" t="s">
        <v>327</v>
      </c>
      <c r="D228" t="s">
        <v>377</v>
      </c>
      <c r="E228" t="s">
        <v>436</v>
      </c>
      <c r="F228" t="s">
        <v>481</v>
      </c>
      <c r="G228">
        <v>58</v>
      </c>
      <c r="H228" t="s">
        <v>483</v>
      </c>
      <c r="I228" t="s">
        <v>487</v>
      </c>
      <c r="J228" t="s">
        <v>502</v>
      </c>
      <c r="K228" t="s">
        <v>513</v>
      </c>
      <c r="L228">
        <v>4</v>
      </c>
      <c r="M228">
        <v>846.66</v>
      </c>
      <c r="N228">
        <v>0.08</v>
      </c>
      <c r="O228">
        <v>3115.71</v>
      </c>
      <c r="P228">
        <v>2369.52</v>
      </c>
      <c r="Q228">
        <v>746.19</v>
      </c>
      <c r="R228" t="s">
        <v>529</v>
      </c>
      <c r="S228" t="s">
        <v>535</v>
      </c>
      <c r="T228" t="s">
        <v>538</v>
      </c>
      <c r="U228">
        <v>5</v>
      </c>
      <c r="V228">
        <v>2025</v>
      </c>
      <c r="W228" s="2" t="str">
        <f t="shared" si="9"/>
        <v>Aug</v>
      </c>
      <c r="X228">
        <f t="shared" si="10"/>
        <v>0.23949276408908404</v>
      </c>
      <c r="Y228" t="str">
        <f>UPPER(Table1[[#This Row],[CustomerName]])</f>
        <v>AANYA PATEL</v>
      </c>
      <c r="Z228" t="str">
        <f t="shared" si="11"/>
        <v>Aanya</v>
      </c>
    </row>
    <row r="229" spans="1:26" x14ac:dyDescent="0.3">
      <c r="A229" t="s">
        <v>248</v>
      </c>
      <c r="B229" s="1">
        <v>45955</v>
      </c>
      <c r="C229" t="s">
        <v>305</v>
      </c>
      <c r="D229" t="s">
        <v>379</v>
      </c>
      <c r="E229" t="s">
        <v>438</v>
      </c>
      <c r="F229" t="s">
        <v>482</v>
      </c>
      <c r="G229">
        <v>49</v>
      </c>
      <c r="H229" t="s">
        <v>486</v>
      </c>
      <c r="I229" t="s">
        <v>497</v>
      </c>
      <c r="J229" t="s">
        <v>502</v>
      </c>
      <c r="K229" t="s">
        <v>507</v>
      </c>
      <c r="L229">
        <v>4</v>
      </c>
      <c r="M229">
        <v>2963.89</v>
      </c>
      <c r="N229">
        <v>0.05</v>
      </c>
      <c r="O229">
        <v>11262.78</v>
      </c>
      <c r="P229">
        <v>8013.92</v>
      </c>
      <c r="Q229">
        <v>3248.86</v>
      </c>
      <c r="R229" t="s">
        <v>531</v>
      </c>
      <c r="S229" t="s">
        <v>537</v>
      </c>
      <c r="T229" t="s">
        <v>538</v>
      </c>
      <c r="U229">
        <v>3</v>
      </c>
      <c r="V229">
        <v>2025</v>
      </c>
      <c r="W229" s="2" t="str">
        <f t="shared" si="9"/>
        <v>Oct</v>
      </c>
      <c r="X229">
        <f t="shared" si="10"/>
        <v>0.28845986514874655</v>
      </c>
      <c r="Y229" t="str">
        <f>UPPER(Table1[[#This Row],[CustomerName]])</f>
        <v>RAHUL SHAH</v>
      </c>
      <c r="Z229" t="str">
        <f t="shared" si="11"/>
        <v>Rahul</v>
      </c>
    </row>
    <row r="230" spans="1:26" x14ac:dyDescent="0.3">
      <c r="A230" t="s">
        <v>249</v>
      </c>
      <c r="B230" s="1">
        <v>45670</v>
      </c>
      <c r="C230" t="s">
        <v>323</v>
      </c>
      <c r="D230" t="s">
        <v>414</v>
      </c>
      <c r="E230" t="s">
        <v>473</v>
      </c>
      <c r="F230" t="s">
        <v>481</v>
      </c>
      <c r="G230">
        <v>42</v>
      </c>
      <c r="H230" t="s">
        <v>485</v>
      </c>
      <c r="I230" t="s">
        <v>492</v>
      </c>
      <c r="J230" t="s">
        <v>504</v>
      </c>
      <c r="K230" t="s">
        <v>516</v>
      </c>
      <c r="L230">
        <v>2</v>
      </c>
      <c r="M230">
        <v>858.53</v>
      </c>
      <c r="N230">
        <v>0</v>
      </c>
      <c r="O230">
        <v>1717.06</v>
      </c>
      <c r="P230">
        <v>1363.26</v>
      </c>
      <c r="Q230">
        <v>353.8</v>
      </c>
      <c r="R230" t="s">
        <v>529</v>
      </c>
      <c r="S230" t="s">
        <v>536</v>
      </c>
      <c r="T230" t="s">
        <v>538</v>
      </c>
      <c r="U230">
        <v>5</v>
      </c>
      <c r="V230">
        <v>2025</v>
      </c>
      <c r="W230" s="2" t="str">
        <f t="shared" si="9"/>
        <v>Jan</v>
      </c>
      <c r="X230">
        <f t="shared" si="10"/>
        <v>0.20604987595075305</v>
      </c>
      <c r="Y230" t="str">
        <f>UPPER(Table1[[#This Row],[CustomerName]])</f>
        <v>RAHUL PATEL</v>
      </c>
      <c r="Z230" t="str">
        <f t="shared" si="11"/>
        <v>Rahul</v>
      </c>
    </row>
    <row r="231" spans="1:26" x14ac:dyDescent="0.3">
      <c r="A231" t="s">
        <v>250</v>
      </c>
      <c r="B231" s="1">
        <v>45873</v>
      </c>
      <c r="C231" t="s">
        <v>347</v>
      </c>
      <c r="D231" t="s">
        <v>413</v>
      </c>
      <c r="E231" t="s">
        <v>472</v>
      </c>
      <c r="F231" t="s">
        <v>481</v>
      </c>
      <c r="G231">
        <v>56</v>
      </c>
      <c r="H231" t="s">
        <v>485</v>
      </c>
      <c r="I231" t="s">
        <v>492</v>
      </c>
      <c r="J231" t="s">
        <v>505</v>
      </c>
      <c r="K231" t="s">
        <v>520</v>
      </c>
      <c r="L231">
        <v>4</v>
      </c>
      <c r="M231">
        <v>2689.84</v>
      </c>
      <c r="N231">
        <v>0.08</v>
      </c>
      <c r="O231">
        <v>9898.61</v>
      </c>
      <c r="P231">
        <v>6919.39</v>
      </c>
      <c r="Q231">
        <v>2979.22</v>
      </c>
      <c r="R231" t="s">
        <v>529</v>
      </c>
      <c r="S231" t="s">
        <v>536</v>
      </c>
      <c r="T231" t="s">
        <v>540</v>
      </c>
      <c r="U231">
        <v>3</v>
      </c>
      <c r="V231">
        <v>2025</v>
      </c>
      <c r="W231" s="2" t="str">
        <f t="shared" si="9"/>
        <v>Aug</v>
      </c>
      <c r="X231">
        <f t="shared" si="10"/>
        <v>0.30097357103674149</v>
      </c>
      <c r="Y231" t="str">
        <f>UPPER(Table1[[#This Row],[CustomerName]])</f>
        <v>KRISH SHAH</v>
      </c>
      <c r="Z231" t="str">
        <f t="shared" si="11"/>
        <v>Krish</v>
      </c>
    </row>
    <row r="232" spans="1:26" x14ac:dyDescent="0.3">
      <c r="A232" t="s">
        <v>251</v>
      </c>
      <c r="B232" s="1">
        <v>45970</v>
      </c>
      <c r="C232" t="s">
        <v>285</v>
      </c>
      <c r="D232" t="s">
        <v>387</v>
      </c>
      <c r="E232" t="s">
        <v>446</v>
      </c>
      <c r="F232" t="s">
        <v>482</v>
      </c>
      <c r="G232">
        <v>19</v>
      </c>
      <c r="H232" t="s">
        <v>485</v>
      </c>
      <c r="I232" t="s">
        <v>492</v>
      </c>
      <c r="J232" t="s">
        <v>506</v>
      </c>
      <c r="K232" t="s">
        <v>525</v>
      </c>
      <c r="L232">
        <v>4</v>
      </c>
      <c r="M232">
        <v>421.19</v>
      </c>
      <c r="N232">
        <v>0.02</v>
      </c>
      <c r="O232">
        <v>1651.06</v>
      </c>
      <c r="P232">
        <v>1028.51</v>
      </c>
      <c r="Q232">
        <v>622.54999999999995</v>
      </c>
      <c r="R232" t="s">
        <v>530</v>
      </c>
      <c r="S232" t="s">
        <v>537</v>
      </c>
      <c r="T232" t="s">
        <v>538</v>
      </c>
      <c r="U232">
        <v>3</v>
      </c>
      <c r="V232">
        <v>2025</v>
      </c>
      <c r="W232" s="2" t="str">
        <f t="shared" si="9"/>
        <v>Nov</v>
      </c>
      <c r="X232">
        <f t="shared" si="10"/>
        <v>0.37706079730597314</v>
      </c>
      <c r="Y232" t="str">
        <f>UPPER(Table1[[#This Row],[CustomerName]])</f>
        <v>ARYAN PATEL</v>
      </c>
      <c r="Z232" t="str">
        <f t="shared" si="11"/>
        <v>Aryan</v>
      </c>
    </row>
    <row r="233" spans="1:26" x14ac:dyDescent="0.3">
      <c r="A233" t="s">
        <v>252</v>
      </c>
      <c r="B233" s="1">
        <v>45795</v>
      </c>
      <c r="C233" t="s">
        <v>287</v>
      </c>
      <c r="D233" t="s">
        <v>395</v>
      </c>
      <c r="E233" t="s">
        <v>454</v>
      </c>
      <c r="F233" t="s">
        <v>481</v>
      </c>
      <c r="G233">
        <v>49</v>
      </c>
      <c r="H233" t="s">
        <v>485</v>
      </c>
      <c r="I233" t="s">
        <v>498</v>
      </c>
      <c r="J233" t="s">
        <v>506</v>
      </c>
      <c r="K233" t="s">
        <v>524</v>
      </c>
      <c r="L233">
        <v>1</v>
      </c>
      <c r="M233">
        <v>585.73</v>
      </c>
      <c r="N233">
        <v>0.08</v>
      </c>
      <c r="O233">
        <v>538.87</v>
      </c>
      <c r="P233">
        <v>335.17</v>
      </c>
      <c r="Q233">
        <v>203.7</v>
      </c>
      <c r="R233" t="s">
        <v>528</v>
      </c>
      <c r="S233" t="s">
        <v>532</v>
      </c>
      <c r="T233" t="s">
        <v>539</v>
      </c>
      <c r="U233">
        <v>4</v>
      </c>
      <c r="V233">
        <v>2025</v>
      </c>
      <c r="W233" s="2" t="str">
        <f t="shared" si="9"/>
        <v>May</v>
      </c>
      <c r="X233">
        <f t="shared" si="10"/>
        <v>0.37801324994896723</v>
      </c>
      <c r="Y233" t="str">
        <f>UPPER(Table1[[#This Row],[CustomerName]])</f>
        <v>ROHAN SHAH</v>
      </c>
      <c r="Z233" t="str">
        <f t="shared" si="11"/>
        <v>Rohan</v>
      </c>
    </row>
    <row r="234" spans="1:26" x14ac:dyDescent="0.3">
      <c r="A234" t="s">
        <v>253</v>
      </c>
      <c r="B234" s="1">
        <v>45978</v>
      </c>
      <c r="C234" t="s">
        <v>335</v>
      </c>
      <c r="D234" t="s">
        <v>421</v>
      </c>
      <c r="E234" t="s">
        <v>480</v>
      </c>
      <c r="F234" t="s">
        <v>481</v>
      </c>
      <c r="G234">
        <v>56</v>
      </c>
      <c r="H234" t="s">
        <v>483</v>
      </c>
      <c r="I234" t="s">
        <v>493</v>
      </c>
      <c r="J234" t="s">
        <v>506</v>
      </c>
      <c r="K234" t="s">
        <v>519</v>
      </c>
      <c r="L234">
        <v>1</v>
      </c>
      <c r="M234">
        <v>1204.0899999999999</v>
      </c>
      <c r="N234">
        <v>0.02</v>
      </c>
      <c r="O234">
        <v>1180.01</v>
      </c>
      <c r="P234">
        <v>933.89</v>
      </c>
      <c r="Q234">
        <v>246.12</v>
      </c>
      <c r="R234" t="s">
        <v>530</v>
      </c>
      <c r="S234" t="s">
        <v>533</v>
      </c>
      <c r="T234" t="s">
        <v>538</v>
      </c>
      <c r="U234">
        <v>5</v>
      </c>
      <c r="V234">
        <v>2025</v>
      </c>
      <c r="W234" s="2" t="str">
        <f t="shared" si="9"/>
        <v>Nov</v>
      </c>
      <c r="X234">
        <f t="shared" si="10"/>
        <v>0.20857450360590166</v>
      </c>
      <c r="Y234" t="str">
        <f>UPPER(Table1[[#This Row],[CustomerName]])</f>
        <v>DHRUV SHAH</v>
      </c>
      <c r="Z234" t="str">
        <f t="shared" si="11"/>
        <v>Dhruv</v>
      </c>
    </row>
    <row r="235" spans="1:26" x14ac:dyDescent="0.3">
      <c r="A235" t="s">
        <v>254</v>
      </c>
      <c r="B235" s="1">
        <v>45791</v>
      </c>
      <c r="C235" t="s">
        <v>318</v>
      </c>
      <c r="D235" t="s">
        <v>413</v>
      </c>
      <c r="E235" t="s">
        <v>472</v>
      </c>
      <c r="F235" t="s">
        <v>481</v>
      </c>
      <c r="G235">
        <v>56</v>
      </c>
      <c r="H235" t="s">
        <v>485</v>
      </c>
      <c r="I235" t="s">
        <v>492</v>
      </c>
      <c r="J235" t="s">
        <v>503</v>
      </c>
      <c r="K235" t="s">
        <v>508</v>
      </c>
      <c r="L235">
        <v>1</v>
      </c>
      <c r="M235">
        <v>3633.85</v>
      </c>
      <c r="N235">
        <v>0.08</v>
      </c>
      <c r="O235">
        <v>3343.14</v>
      </c>
      <c r="P235">
        <v>2501.91</v>
      </c>
      <c r="Q235">
        <v>841.23</v>
      </c>
      <c r="R235" t="s">
        <v>527</v>
      </c>
      <c r="S235" t="s">
        <v>534</v>
      </c>
      <c r="T235" t="s">
        <v>538</v>
      </c>
      <c r="U235">
        <v>4</v>
      </c>
      <c r="V235">
        <v>2025</v>
      </c>
      <c r="W235" s="2" t="str">
        <f t="shared" si="9"/>
        <v>May</v>
      </c>
      <c r="X235">
        <f t="shared" si="10"/>
        <v>0.25162870834006357</v>
      </c>
      <c r="Y235" t="str">
        <f>UPPER(Table1[[#This Row],[CustomerName]])</f>
        <v>KRISH SHAH</v>
      </c>
      <c r="Z235" t="str">
        <f t="shared" si="11"/>
        <v>Krish</v>
      </c>
    </row>
    <row r="236" spans="1:26" x14ac:dyDescent="0.3">
      <c r="A236" t="s">
        <v>255</v>
      </c>
      <c r="B236" s="1">
        <v>45768</v>
      </c>
      <c r="C236" t="s">
        <v>287</v>
      </c>
      <c r="D236" t="s">
        <v>395</v>
      </c>
      <c r="E236" t="s">
        <v>454</v>
      </c>
      <c r="F236" t="s">
        <v>481</v>
      </c>
      <c r="G236">
        <v>49</v>
      </c>
      <c r="H236" t="s">
        <v>485</v>
      </c>
      <c r="I236" t="s">
        <v>498</v>
      </c>
      <c r="J236" t="s">
        <v>502</v>
      </c>
      <c r="K236" t="s">
        <v>514</v>
      </c>
      <c r="L236">
        <v>1</v>
      </c>
      <c r="M236">
        <v>1525.48</v>
      </c>
      <c r="N236">
        <v>0.1</v>
      </c>
      <c r="O236">
        <v>1372.93</v>
      </c>
      <c r="P236">
        <v>960.5</v>
      </c>
      <c r="Q236">
        <v>412.43</v>
      </c>
      <c r="R236" t="s">
        <v>527</v>
      </c>
      <c r="S236" t="s">
        <v>534</v>
      </c>
      <c r="T236" t="s">
        <v>538</v>
      </c>
      <c r="U236">
        <v>5</v>
      </c>
      <c r="V236">
        <v>2025</v>
      </c>
      <c r="W236" s="2" t="str">
        <f t="shared" si="9"/>
        <v>Apr</v>
      </c>
      <c r="X236">
        <f t="shared" si="10"/>
        <v>0.30040133145899645</v>
      </c>
      <c r="Y236" t="str">
        <f>UPPER(Table1[[#This Row],[CustomerName]])</f>
        <v>ROHAN SHAH</v>
      </c>
      <c r="Z236" t="str">
        <f t="shared" si="11"/>
        <v>Rohan</v>
      </c>
    </row>
    <row r="237" spans="1:26" x14ac:dyDescent="0.3">
      <c r="A237" t="s">
        <v>256</v>
      </c>
      <c r="B237" s="1">
        <v>45862</v>
      </c>
      <c r="C237" t="s">
        <v>331</v>
      </c>
      <c r="D237" t="s">
        <v>413</v>
      </c>
      <c r="E237" t="s">
        <v>472</v>
      </c>
      <c r="F237" t="s">
        <v>481</v>
      </c>
      <c r="G237">
        <v>56</v>
      </c>
      <c r="H237" t="s">
        <v>485</v>
      </c>
      <c r="I237" t="s">
        <v>492</v>
      </c>
      <c r="J237" t="s">
        <v>502</v>
      </c>
      <c r="K237" t="s">
        <v>514</v>
      </c>
      <c r="L237">
        <v>2</v>
      </c>
      <c r="M237">
        <v>1617.65</v>
      </c>
      <c r="N237">
        <v>0.1</v>
      </c>
      <c r="O237">
        <v>2911.77</v>
      </c>
      <c r="P237">
        <v>2114.37</v>
      </c>
      <c r="Q237">
        <v>797.4</v>
      </c>
      <c r="R237" t="s">
        <v>527</v>
      </c>
      <c r="S237" t="s">
        <v>533</v>
      </c>
      <c r="T237" t="s">
        <v>538</v>
      </c>
      <c r="U237">
        <v>4</v>
      </c>
      <c r="V237">
        <v>2025</v>
      </c>
      <c r="W237" s="2" t="str">
        <f t="shared" si="9"/>
        <v>Jul</v>
      </c>
      <c r="X237">
        <f t="shared" si="10"/>
        <v>0.27385404753809539</v>
      </c>
      <c r="Y237" t="str">
        <f>UPPER(Table1[[#This Row],[CustomerName]])</f>
        <v>KRISH SHAH</v>
      </c>
      <c r="Z237" t="str">
        <f t="shared" si="11"/>
        <v>Krish</v>
      </c>
    </row>
    <row r="238" spans="1:26" x14ac:dyDescent="0.3">
      <c r="A238" t="s">
        <v>257</v>
      </c>
      <c r="B238" s="1">
        <v>45890</v>
      </c>
      <c r="C238" t="s">
        <v>272</v>
      </c>
      <c r="D238" t="s">
        <v>372</v>
      </c>
      <c r="E238" t="s">
        <v>431</v>
      </c>
      <c r="F238" t="s">
        <v>482</v>
      </c>
      <c r="G238">
        <v>41</v>
      </c>
      <c r="H238" t="s">
        <v>485</v>
      </c>
      <c r="I238" t="s">
        <v>492</v>
      </c>
      <c r="J238" t="s">
        <v>506</v>
      </c>
      <c r="K238" t="s">
        <v>519</v>
      </c>
      <c r="L238">
        <v>2</v>
      </c>
      <c r="M238">
        <v>1276.05</v>
      </c>
      <c r="N238">
        <v>0</v>
      </c>
      <c r="O238">
        <v>2552.1</v>
      </c>
      <c r="P238">
        <v>1981.1</v>
      </c>
      <c r="Q238">
        <v>571</v>
      </c>
      <c r="R238" t="s">
        <v>530</v>
      </c>
      <c r="S238" t="s">
        <v>534</v>
      </c>
      <c r="T238" t="s">
        <v>540</v>
      </c>
      <c r="U238">
        <v>5</v>
      </c>
      <c r="V238">
        <v>2025</v>
      </c>
      <c r="W238" s="2" t="str">
        <f t="shared" si="9"/>
        <v>Aug</v>
      </c>
      <c r="X238">
        <f t="shared" si="10"/>
        <v>0.22373731436855923</v>
      </c>
      <c r="Y238" t="str">
        <f>UPPER(Table1[[#This Row],[CustomerName]])</f>
        <v>MAHI PATEL</v>
      </c>
      <c r="Z238" t="str">
        <f t="shared" si="11"/>
        <v>Mahi</v>
      </c>
    </row>
    <row r="239" spans="1:26" x14ac:dyDescent="0.3">
      <c r="A239" t="s">
        <v>258</v>
      </c>
      <c r="B239" s="1">
        <v>45725</v>
      </c>
      <c r="C239" t="s">
        <v>360</v>
      </c>
      <c r="D239" t="s">
        <v>405</v>
      </c>
      <c r="E239" t="s">
        <v>464</v>
      </c>
      <c r="F239" t="s">
        <v>482</v>
      </c>
      <c r="G239">
        <v>39</v>
      </c>
      <c r="H239" t="s">
        <v>484</v>
      </c>
      <c r="I239" t="s">
        <v>488</v>
      </c>
      <c r="J239" t="s">
        <v>505</v>
      </c>
      <c r="K239" t="s">
        <v>518</v>
      </c>
      <c r="L239">
        <v>4</v>
      </c>
      <c r="M239">
        <v>53568.59</v>
      </c>
      <c r="N239">
        <v>0.15</v>
      </c>
      <c r="O239">
        <v>182133.21</v>
      </c>
      <c r="P239">
        <v>130042.68</v>
      </c>
      <c r="Q239">
        <v>52090.53</v>
      </c>
      <c r="R239" t="s">
        <v>529</v>
      </c>
      <c r="S239" t="s">
        <v>537</v>
      </c>
      <c r="T239" t="s">
        <v>540</v>
      </c>
      <c r="U239">
        <v>3</v>
      </c>
      <c r="V239">
        <v>2025</v>
      </c>
      <c r="W239" s="2" t="str">
        <f t="shared" si="9"/>
        <v>Mar</v>
      </c>
      <c r="X239">
        <f t="shared" si="10"/>
        <v>0.28600237156090313</v>
      </c>
      <c r="Y239" t="str">
        <f>UPPER(Table1[[#This Row],[CustomerName]])</f>
        <v>DEV SHAH</v>
      </c>
      <c r="Z239" t="str">
        <f t="shared" si="11"/>
        <v>Dev</v>
      </c>
    </row>
    <row r="240" spans="1:26" x14ac:dyDescent="0.3">
      <c r="A240" t="s">
        <v>259</v>
      </c>
      <c r="B240" s="1">
        <v>45741</v>
      </c>
      <c r="C240" t="s">
        <v>316</v>
      </c>
      <c r="D240" t="s">
        <v>420</v>
      </c>
      <c r="E240" t="s">
        <v>479</v>
      </c>
      <c r="F240" t="s">
        <v>482</v>
      </c>
      <c r="G240">
        <v>41</v>
      </c>
      <c r="H240" t="s">
        <v>484</v>
      </c>
      <c r="I240" t="s">
        <v>499</v>
      </c>
      <c r="J240" t="s">
        <v>503</v>
      </c>
      <c r="K240" t="s">
        <v>512</v>
      </c>
      <c r="L240">
        <v>1</v>
      </c>
      <c r="M240">
        <v>6976.25</v>
      </c>
      <c r="N240">
        <v>0.05</v>
      </c>
      <c r="O240">
        <v>6627.44</v>
      </c>
      <c r="P240">
        <v>5117.83</v>
      </c>
      <c r="Q240">
        <v>1509.61</v>
      </c>
      <c r="R240" t="s">
        <v>530</v>
      </c>
      <c r="S240" t="s">
        <v>533</v>
      </c>
      <c r="T240" t="s">
        <v>538</v>
      </c>
      <c r="U240">
        <v>3</v>
      </c>
      <c r="V240">
        <v>2025</v>
      </c>
      <c r="W240" s="2" t="str">
        <f t="shared" si="9"/>
        <v>Mar</v>
      </c>
      <c r="X240">
        <f t="shared" si="10"/>
        <v>0.22778176792245572</v>
      </c>
      <c r="Y240" t="str">
        <f>UPPER(Table1[[#This Row],[CustomerName]])</f>
        <v>ARJUN PATEL</v>
      </c>
      <c r="Z240" t="str">
        <f t="shared" si="11"/>
        <v>Arjun</v>
      </c>
    </row>
    <row r="241" spans="1:26" x14ac:dyDescent="0.3">
      <c r="A241" t="s">
        <v>260</v>
      </c>
      <c r="B241" s="1">
        <v>45719</v>
      </c>
      <c r="C241" t="s">
        <v>276</v>
      </c>
      <c r="D241" t="s">
        <v>421</v>
      </c>
      <c r="E241" t="s">
        <v>480</v>
      </c>
      <c r="F241" t="s">
        <v>481</v>
      </c>
      <c r="G241">
        <v>56</v>
      </c>
      <c r="H241" t="s">
        <v>483</v>
      </c>
      <c r="I241" t="s">
        <v>493</v>
      </c>
      <c r="J241" t="s">
        <v>503</v>
      </c>
      <c r="K241" t="s">
        <v>512</v>
      </c>
      <c r="L241">
        <v>5</v>
      </c>
      <c r="M241">
        <v>6456.94</v>
      </c>
      <c r="N241">
        <v>0.05</v>
      </c>
      <c r="O241">
        <v>30670.46</v>
      </c>
      <c r="P241">
        <v>20032.41</v>
      </c>
      <c r="Q241">
        <v>10638.05</v>
      </c>
      <c r="R241" t="s">
        <v>530</v>
      </c>
      <c r="S241" t="s">
        <v>536</v>
      </c>
      <c r="T241" t="s">
        <v>539</v>
      </c>
      <c r="U241">
        <v>5</v>
      </c>
      <c r="V241">
        <v>2025</v>
      </c>
      <c r="W241" s="2" t="str">
        <f t="shared" si="9"/>
        <v>Mar</v>
      </c>
      <c r="X241">
        <f t="shared" si="10"/>
        <v>0.34685003094182482</v>
      </c>
      <c r="Y241" t="str">
        <f>UPPER(Table1[[#This Row],[CustomerName]])</f>
        <v>DHRUV SHAH</v>
      </c>
      <c r="Z241" t="str">
        <f t="shared" si="11"/>
        <v>Dhruv</v>
      </c>
    </row>
    <row r="242" spans="1:26" x14ac:dyDescent="0.3">
      <c r="A242" t="s">
        <v>261</v>
      </c>
      <c r="B242" s="1">
        <v>45897</v>
      </c>
      <c r="C242" t="s">
        <v>342</v>
      </c>
      <c r="D242" t="s">
        <v>380</v>
      </c>
      <c r="E242" t="s">
        <v>439</v>
      </c>
      <c r="F242" t="s">
        <v>482</v>
      </c>
      <c r="G242">
        <v>59</v>
      </c>
      <c r="H242" t="s">
        <v>485</v>
      </c>
      <c r="I242" t="s">
        <v>492</v>
      </c>
      <c r="J242" t="s">
        <v>502</v>
      </c>
      <c r="K242" t="s">
        <v>507</v>
      </c>
      <c r="L242">
        <v>4</v>
      </c>
      <c r="M242">
        <v>2871.28</v>
      </c>
      <c r="N242">
        <v>0</v>
      </c>
      <c r="O242">
        <v>11485.12</v>
      </c>
      <c r="P242">
        <v>7573.12</v>
      </c>
      <c r="Q242">
        <v>3912</v>
      </c>
      <c r="R242" t="s">
        <v>528</v>
      </c>
      <c r="S242" t="s">
        <v>536</v>
      </c>
      <c r="T242" t="s">
        <v>539</v>
      </c>
      <c r="U242">
        <v>5</v>
      </c>
      <c r="V242">
        <v>2025</v>
      </c>
      <c r="W242" s="2" t="str">
        <f t="shared" si="9"/>
        <v>Aug</v>
      </c>
      <c r="X242">
        <f t="shared" si="10"/>
        <v>0.34061463876737896</v>
      </c>
      <c r="Y242" t="str">
        <f>UPPER(Table1[[#This Row],[CustomerName]])</f>
        <v>DIYA PATEL</v>
      </c>
      <c r="Z242" t="str">
        <f t="shared" si="11"/>
        <v>Diya</v>
      </c>
    </row>
    <row r="243" spans="1:26" x14ac:dyDescent="0.3">
      <c r="A243" t="s">
        <v>262</v>
      </c>
      <c r="B243" s="1">
        <v>45989</v>
      </c>
      <c r="C243" t="s">
        <v>342</v>
      </c>
      <c r="D243" t="s">
        <v>408</v>
      </c>
      <c r="E243" t="s">
        <v>467</v>
      </c>
      <c r="F243" t="s">
        <v>482</v>
      </c>
      <c r="G243">
        <v>34</v>
      </c>
      <c r="H243" t="s">
        <v>484</v>
      </c>
      <c r="I243" t="s">
        <v>488</v>
      </c>
      <c r="J243" t="s">
        <v>503</v>
      </c>
      <c r="K243" t="s">
        <v>521</v>
      </c>
      <c r="L243">
        <v>2</v>
      </c>
      <c r="M243">
        <v>9692.9</v>
      </c>
      <c r="N243">
        <v>0.08</v>
      </c>
      <c r="O243">
        <v>17834.939999999999</v>
      </c>
      <c r="P243">
        <v>14016.09</v>
      </c>
      <c r="Q243">
        <v>3818.85</v>
      </c>
      <c r="R243" t="s">
        <v>530</v>
      </c>
      <c r="S243" t="s">
        <v>534</v>
      </c>
      <c r="T243" t="s">
        <v>538</v>
      </c>
      <c r="U243">
        <v>5</v>
      </c>
      <c r="V243">
        <v>2025</v>
      </c>
      <c r="W243" s="2" t="str">
        <f t="shared" si="9"/>
        <v>Nov</v>
      </c>
      <c r="X243">
        <f t="shared" si="10"/>
        <v>0.21412183051919437</v>
      </c>
      <c r="Y243" t="str">
        <f>UPPER(Table1[[#This Row],[CustomerName]])</f>
        <v>NISHA PATEL</v>
      </c>
      <c r="Z243" t="str">
        <f t="shared" si="11"/>
        <v>Nisha</v>
      </c>
    </row>
    <row r="244" spans="1:26" x14ac:dyDescent="0.3">
      <c r="A244" t="s">
        <v>263</v>
      </c>
      <c r="B244" s="1">
        <v>45902</v>
      </c>
      <c r="C244" t="s">
        <v>336</v>
      </c>
      <c r="D244" t="s">
        <v>401</v>
      </c>
      <c r="E244" t="s">
        <v>460</v>
      </c>
      <c r="F244" t="s">
        <v>481</v>
      </c>
      <c r="G244">
        <v>45</v>
      </c>
      <c r="H244" t="s">
        <v>483</v>
      </c>
      <c r="I244" t="s">
        <v>487</v>
      </c>
      <c r="J244" t="s">
        <v>506</v>
      </c>
      <c r="K244" t="s">
        <v>525</v>
      </c>
      <c r="L244">
        <v>2</v>
      </c>
      <c r="M244">
        <v>448.34</v>
      </c>
      <c r="N244">
        <v>0.08</v>
      </c>
      <c r="O244">
        <v>824.95</v>
      </c>
      <c r="P244">
        <v>552.28</v>
      </c>
      <c r="Q244">
        <v>272.67</v>
      </c>
      <c r="R244" t="s">
        <v>529</v>
      </c>
      <c r="S244" t="s">
        <v>534</v>
      </c>
      <c r="T244" t="s">
        <v>538</v>
      </c>
      <c r="U244">
        <v>4</v>
      </c>
      <c r="V244">
        <v>2025</v>
      </c>
      <c r="W244" s="2" t="str">
        <f t="shared" si="9"/>
        <v>Sep</v>
      </c>
      <c r="X244">
        <f t="shared" si="10"/>
        <v>0.33052912297715015</v>
      </c>
      <c r="Y244" t="str">
        <f>UPPER(Table1[[#This Row],[CustomerName]])</f>
        <v>ARYAN SHAH</v>
      </c>
      <c r="Z244" t="str">
        <f t="shared" si="11"/>
        <v>Aryan</v>
      </c>
    </row>
    <row r="245" spans="1:26" x14ac:dyDescent="0.3">
      <c r="A245" t="s">
        <v>264</v>
      </c>
      <c r="B245" s="1">
        <v>45899</v>
      </c>
      <c r="C245" t="s">
        <v>309</v>
      </c>
      <c r="D245" t="s">
        <v>416</v>
      </c>
      <c r="E245" t="s">
        <v>475</v>
      </c>
      <c r="F245" t="s">
        <v>481</v>
      </c>
      <c r="G245">
        <v>42</v>
      </c>
      <c r="H245" t="s">
        <v>483</v>
      </c>
      <c r="I245" t="s">
        <v>490</v>
      </c>
      <c r="J245" t="s">
        <v>502</v>
      </c>
      <c r="K245" t="s">
        <v>513</v>
      </c>
      <c r="L245">
        <v>5</v>
      </c>
      <c r="M245">
        <v>829.3</v>
      </c>
      <c r="N245">
        <v>0.1</v>
      </c>
      <c r="O245">
        <v>3731.85</v>
      </c>
      <c r="P245">
        <v>2595.12</v>
      </c>
      <c r="Q245">
        <v>1136.73</v>
      </c>
      <c r="R245" t="s">
        <v>527</v>
      </c>
      <c r="S245" t="s">
        <v>533</v>
      </c>
      <c r="T245" t="s">
        <v>538</v>
      </c>
      <c r="U245">
        <v>3</v>
      </c>
      <c r="V245">
        <v>2025</v>
      </c>
      <c r="W245" s="2" t="str">
        <f t="shared" si="9"/>
        <v>Aug</v>
      </c>
      <c r="X245">
        <f t="shared" si="10"/>
        <v>0.30460227501105352</v>
      </c>
      <c r="Y245" t="str">
        <f>UPPER(Table1[[#This Row],[CustomerName]])</f>
        <v>KHUSHI PATEL</v>
      </c>
      <c r="Z245" t="str">
        <f t="shared" si="11"/>
        <v>Khushi</v>
      </c>
    </row>
    <row r="246" spans="1:26" x14ac:dyDescent="0.3">
      <c r="A246" t="s">
        <v>265</v>
      </c>
      <c r="B246" s="1">
        <v>45909</v>
      </c>
      <c r="C246" t="s">
        <v>310</v>
      </c>
      <c r="D246" t="s">
        <v>409</v>
      </c>
      <c r="E246" t="s">
        <v>468</v>
      </c>
      <c r="F246" t="s">
        <v>482</v>
      </c>
      <c r="G246">
        <v>37</v>
      </c>
      <c r="H246" t="s">
        <v>483</v>
      </c>
      <c r="I246" t="s">
        <v>487</v>
      </c>
      <c r="J246" t="s">
        <v>502</v>
      </c>
      <c r="K246" t="s">
        <v>514</v>
      </c>
      <c r="L246">
        <v>3</v>
      </c>
      <c r="M246">
        <v>1440.92</v>
      </c>
      <c r="N246">
        <v>0.05</v>
      </c>
      <c r="O246">
        <v>4106.62</v>
      </c>
      <c r="P246">
        <v>2570.06</v>
      </c>
      <c r="Q246">
        <v>1536.56</v>
      </c>
      <c r="R246" t="s">
        <v>528</v>
      </c>
      <c r="S246" t="s">
        <v>536</v>
      </c>
      <c r="T246" t="s">
        <v>538</v>
      </c>
      <c r="U246">
        <v>3</v>
      </c>
      <c r="V246">
        <v>2025</v>
      </c>
      <c r="W246" s="2" t="str">
        <f t="shared" si="9"/>
        <v>Sep</v>
      </c>
      <c r="X246">
        <f t="shared" si="10"/>
        <v>0.37416658955540077</v>
      </c>
      <c r="Y246" t="str">
        <f>UPPER(Table1[[#This Row],[CustomerName]])</f>
        <v>KABIR SHAH</v>
      </c>
      <c r="Z246" t="str">
        <f t="shared" si="11"/>
        <v>Kabir</v>
      </c>
    </row>
    <row r="247" spans="1:26" x14ac:dyDescent="0.3">
      <c r="A247" t="s">
        <v>266</v>
      </c>
      <c r="B247" s="1">
        <v>45905</v>
      </c>
      <c r="C247" t="s">
        <v>359</v>
      </c>
      <c r="D247" t="s">
        <v>382</v>
      </c>
      <c r="E247" t="s">
        <v>441</v>
      </c>
      <c r="F247" t="s">
        <v>482</v>
      </c>
      <c r="G247">
        <v>32</v>
      </c>
      <c r="H247" t="s">
        <v>485</v>
      </c>
      <c r="I247" t="s">
        <v>489</v>
      </c>
      <c r="J247" t="s">
        <v>504</v>
      </c>
      <c r="K247" t="s">
        <v>509</v>
      </c>
      <c r="L247">
        <v>1</v>
      </c>
      <c r="M247">
        <v>468.79</v>
      </c>
      <c r="N247">
        <v>0</v>
      </c>
      <c r="O247">
        <v>468.79</v>
      </c>
      <c r="P247">
        <v>350.23</v>
      </c>
      <c r="Q247">
        <v>118.56</v>
      </c>
      <c r="R247" t="s">
        <v>527</v>
      </c>
      <c r="S247" t="s">
        <v>535</v>
      </c>
      <c r="T247" t="s">
        <v>540</v>
      </c>
      <c r="U247">
        <v>3</v>
      </c>
      <c r="V247">
        <v>2025</v>
      </c>
      <c r="W247" s="2" t="str">
        <f t="shared" si="9"/>
        <v>Sep</v>
      </c>
      <c r="X247">
        <f t="shared" si="10"/>
        <v>0.25290641865227498</v>
      </c>
      <c r="Y247" t="str">
        <f>UPPER(Table1[[#This Row],[CustomerName]])</f>
        <v>YASH PATEL</v>
      </c>
      <c r="Z247" t="str">
        <f t="shared" si="11"/>
        <v>Yash</v>
      </c>
    </row>
    <row r="248" spans="1:26" x14ac:dyDescent="0.3">
      <c r="A248" t="s">
        <v>267</v>
      </c>
      <c r="B248" s="1">
        <v>45748</v>
      </c>
      <c r="C248" t="s">
        <v>281</v>
      </c>
      <c r="D248" t="s">
        <v>399</v>
      </c>
      <c r="E248" t="s">
        <v>458</v>
      </c>
      <c r="F248" t="s">
        <v>481</v>
      </c>
      <c r="G248">
        <v>53</v>
      </c>
      <c r="H248" t="s">
        <v>486</v>
      </c>
      <c r="I248" t="s">
        <v>497</v>
      </c>
      <c r="J248" t="s">
        <v>502</v>
      </c>
      <c r="K248" t="s">
        <v>513</v>
      </c>
      <c r="L248">
        <v>4</v>
      </c>
      <c r="M248">
        <v>883.63</v>
      </c>
      <c r="N248">
        <v>0.1</v>
      </c>
      <c r="O248">
        <v>3181.07</v>
      </c>
      <c r="P248">
        <v>2200.4</v>
      </c>
      <c r="Q248">
        <v>980.67</v>
      </c>
      <c r="R248" t="s">
        <v>527</v>
      </c>
      <c r="S248" t="s">
        <v>532</v>
      </c>
      <c r="T248" t="s">
        <v>540</v>
      </c>
      <c r="U248">
        <v>4</v>
      </c>
      <c r="V248">
        <v>2025</v>
      </c>
      <c r="W248" s="2" t="str">
        <f t="shared" si="9"/>
        <v>Apr</v>
      </c>
      <c r="X248">
        <f t="shared" si="10"/>
        <v>0.30828306198857613</v>
      </c>
      <c r="Y248" t="str">
        <f>UPPER(Table1[[#This Row],[CustomerName]])</f>
        <v>YASH SHAH</v>
      </c>
      <c r="Z248" t="str">
        <f t="shared" si="11"/>
        <v>Yash</v>
      </c>
    </row>
    <row r="249" spans="1:26" x14ac:dyDescent="0.3">
      <c r="A249" t="s">
        <v>268</v>
      </c>
      <c r="B249" s="1">
        <v>45773</v>
      </c>
      <c r="C249" t="s">
        <v>362</v>
      </c>
      <c r="D249" t="s">
        <v>391</v>
      </c>
      <c r="E249" t="s">
        <v>450</v>
      </c>
      <c r="F249" t="s">
        <v>481</v>
      </c>
      <c r="G249">
        <v>30</v>
      </c>
      <c r="H249" t="s">
        <v>486</v>
      </c>
      <c r="I249" t="s">
        <v>497</v>
      </c>
      <c r="J249" t="s">
        <v>504</v>
      </c>
      <c r="K249" t="s">
        <v>509</v>
      </c>
      <c r="L249">
        <v>1</v>
      </c>
      <c r="M249">
        <v>430.47</v>
      </c>
      <c r="N249">
        <v>0</v>
      </c>
      <c r="O249">
        <v>430.47</v>
      </c>
      <c r="P249">
        <v>281.98</v>
      </c>
      <c r="Q249">
        <v>148.49</v>
      </c>
      <c r="R249" t="s">
        <v>531</v>
      </c>
      <c r="S249" t="s">
        <v>535</v>
      </c>
      <c r="T249" t="s">
        <v>540</v>
      </c>
      <c r="U249">
        <v>4</v>
      </c>
      <c r="V249">
        <v>2025</v>
      </c>
      <c r="W249" s="2" t="str">
        <f t="shared" si="9"/>
        <v>Apr</v>
      </c>
      <c r="X249">
        <f t="shared" si="10"/>
        <v>0.34494854461402652</v>
      </c>
      <c r="Y249" t="str">
        <f>UPPER(Table1[[#This Row],[CustomerName]])</f>
        <v>MANAV SHAH</v>
      </c>
      <c r="Z249" t="str">
        <f t="shared" si="11"/>
        <v>Manav</v>
      </c>
    </row>
    <row r="250" spans="1:26" x14ac:dyDescent="0.3">
      <c r="A250" t="s">
        <v>269</v>
      </c>
      <c r="B250" s="1">
        <v>45969</v>
      </c>
      <c r="C250" t="s">
        <v>297</v>
      </c>
      <c r="D250" t="s">
        <v>400</v>
      </c>
      <c r="E250" t="s">
        <v>459</v>
      </c>
      <c r="F250" t="s">
        <v>481</v>
      </c>
      <c r="G250">
        <v>26</v>
      </c>
      <c r="H250" t="s">
        <v>486</v>
      </c>
      <c r="I250" t="s">
        <v>497</v>
      </c>
      <c r="J250" t="s">
        <v>502</v>
      </c>
      <c r="K250" t="s">
        <v>515</v>
      </c>
      <c r="L250">
        <v>3</v>
      </c>
      <c r="M250">
        <v>1737.36</v>
      </c>
      <c r="N250">
        <v>0.08</v>
      </c>
      <c r="O250">
        <v>4795.1099999999997</v>
      </c>
      <c r="P250">
        <v>3385.45</v>
      </c>
      <c r="Q250">
        <v>1409.66</v>
      </c>
      <c r="R250" t="s">
        <v>531</v>
      </c>
      <c r="S250" t="s">
        <v>535</v>
      </c>
      <c r="T250" t="s">
        <v>538</v>
      </c>
      <c r="U250">
        <v>5</v>
      </c>
      <c r="V250">
        <v>2025</v>
      </c>
      <c r="W250" s="2" t="str">
        <f t="shared" si="9"/>
        <v>Nov</v>
      </c>
      <c r="X250">
        <f t="shared" si="10"/>
        <v>0.29397865742391732</v>
      </c>
      <c r="Y250" t="str">
        <f>UPPER(Table1[[#This Row],[CustomerName]])</f>
        <v>ISHAAN PATEL</v>
      </c>
      <c r="Z250" t="str">
        <f t="shared" si="11"/>
        <v>Ishaan</v>
      </c>
    </row>
    <row r="251" spans="1:26" x14ac:dyDescent="0.3">
      <c r="A251" t="s">
        <v>270</v>
      </c>
      <c r="B251" s="1">
        <v>45741</v>
      </c>
      <c r="C251" t="s">
        <v>358</v>
      </c>
      <c r="D251" t="s">
        <v>409</v>
      </c>
      <c r="E251" t="s">
        <v>468</v>
      </c>
      <c r="F251" t="s">
        <v>482</v>
      </c>
      <c r="G251">
        <v>37</v>
      </c>
      <c r="H251" t="s">
        <v>483</v>
      </c>
      <c r="I251" t="s">
        <v>487</v>
      </c>
      <c r="J251" t="s">
        <v>505</v>
      </c>
      <c r="K251" t="s">
        <v>522</v>
      </c>
      <c r="L251">
        <v>1</v>
      </c>
      <c r="M251">
        <v>4836.5600000000004</v>
      </c>
      <c r="N251">
        <v>0.15</v>
      </c>
      <c r="O251">
        <v>4111.08</v>
      </c>
      <c r="P251">
        <v>2719.13</v>
      </c>
      <c r="Q251">
        <v>1391.95</v>
      </c>
      <c r="R251" t="s">
        <v>529</v>
      </c>
      <c r="S251" t="s">
        <v>534</v>
      </c>
      <c r="T251" t="s">
        <v>540</v>
      </c>
      <c r="U251">
        <v>5</v>
      </c>
      <c r="V251">
        <v>2025</v>
      </c>
      <c r="W251" s="2" t="str">
        <f t="shared" si="9"/>
        <v>Mar</v>
      </c>
      <c r="X251">
        <f t="shared" si="10"/>
        <v>0.33858499469725717</v>
      </c>
      <c r="Y251" t="str">
        <f>UPPER(Table1[[#This Row],[CustomerName]])</f>
        <v>KABIR SHAH</v>
      </c>
      <c r="Z251" t="str">
        <f t="shared" si="11"/>
        <v>Kabir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2A351-2FE9-46B2-B75B-EBE293A613A5}">
  <dimension ref="A1:B10"/>
  <sheetViews>
    <sheetView workbookViewId="0">
      <selection activeCell="B9" sqref="B9"/>
    </sheetView>
  </sheetViews>
  <sheetFormatPr defaultRowHeight="14.4" x14ac:dyDescent="0.3"/>
  <cols>
    <col min="1" max="1" width="28.44140625" customWidth="1"/>
    <col min="2" max="2" width="16.5546875" customWidth="1"/>
    <col min="4" max="4" width="10.33203125" bestFit="1" customWidth="1"/>
  </cols>
  <sheetData>
    <row r="1" spans="1:2" ht="25.8" x14ac:dyDescent="0.5">
      <c r="A1" s="43" t="s">
        <v>547</v>
      </c>
      <c r="B1" s="43"/>
    </row>
    <row r="3" spans="1:2" ht="15.6" x14ac:dyDescent="0.3">
      <c r="A3" s="8" t="s">
        <v>544</v>
      </c>
      <c r="B3" s="9">
        <f>IFERROR(COUNTA(Dataset!A2:A251),0)</f>
        <v>250</v>
      </c>
    </row>
    <row r="4" spans="1:2" ht="15" customHeight="1" x14ac:dyDescent="0.3">
      <c r="A4" s="10" t="s">
        <v>545</v>
      </c>
      <c r="B4" s="12">
        <f>SUM(Dataset!O2:O251)</f>
        <v>6903164.1299999999</v>
      </c>
    </row>
    <row r="5" spans="1:2" ht="15.6" x14ac:dyDescent="0.3">
      <c r="A5" s="11" t="s">
        <v>546</v>
      </c>
      <c r="B5" s="9">
        <f>AVERAGE(Dataset!Q2:Q251)</f>
        <v>7866.7639600000057</v>
      </c>
    </row>
    <row r="6" spans="1:2" ht="15.6" x14ac:dyDescent="0.3">
      <c r="A6" s="9" t="s">
        <v>554</v>
      </c>
      <c r="B6" s="12">
        <f>IFERROR(SUM(Dataset!P2:P251),0)</f>
        <v>4936473.1399999997</v>
      </c>
    </row>
    <row r="7" spans="1:2" ht="15.6" x14ac:dyDescent="0.3">
      <c r="A7" s="9" t="s">
        <v>555</v>
      </c>
      <c r="B7" s="9">
        <f>IFERROR(SUM(Dataset!Q2:Q251),0)</f>
        <v>1966690.9900000014</v>
      </c>
    </row>
    <row r="8" spans="1:2" ht="15.6" x14ac:dyDescent="0.3">
      <c r="A8" s="9" t="s">
        <v>556</v>
      </c>
      <c r="B8" s="9">
        <f>IFERROR(SUM(Dataset!L2:L251),0)</f>
        <v>747</v>
      </c>
    </row>
    <row r="9" spans="1:2" ht="15.6" x14ac:dyDescent="0.3">
      <c r="A9" s="9" t="s">
        <v>557</v>
      </c>
      <c r="B9" s="40">
        <f>IFERROR(AVERAGE(Dataset!U2:U251),0)</f>
        <v>4.2359999999999998</v>
      </c>
    </row>
    <row r="10" spans="1:2" ht="15.6" x14ac:dyDescent="0.3">
      <c r="A10" s="9" t="s">
        <v>543</v>
      </c>
      <c r="B10" s="9">
        <f>IFERROR(SUM(Dataset!Q2:Q251)/SUM(Dataset!O2:O251),0)</f>
        <v>0.28489703460085647</v>
      </c>
    </row>
  </sheetData>
  <mergeCells count="1">
    <mergeCell ref="A1:B1"/>
  </mergeCells>
  <conditionalFormatting sqref="B3:B5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:B10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745D4-8F55-4712-A2E1-BDCDA78D338E}">
  <dimension ref="A1:I78"/>
  <sheetViews>
    <sheetView zoomScale="53" workbookViewId="0">
      <selection activeCell="D9" sqref="D9"/>
    </sheetView>
  </sheetViews>
  <sheetFormatPr defaultRowHeight="14.4" x14ac:dyDescent="0.3"/>
  <cols>
    <col min="1" max="1" width="19" customWidth="1"/>
    <col min="2" max="2" width="19.109375" customWidth="1"/>
    <col min="3" max="3" width="14" customWidth="1"/>
    <col min="4" max="4" width="17.5546875" customWidth="1"/>
  </cols>
  <sheetData>
    <row r="1" spans="1:9" ht="21" x14ac:dyDescent="0.4">
      <c r="A1" s="44" t="s">
        <v>550</v>
      </c>
      <c r="B1" s="44"/>
      <c r="C1" s="44"/>
      <c r="D1" s="44"/>
      <c r="E1" s="44"/>
    </row>
    <row r="3" spans="1:9" x14ac:dyDescent="0.3">
      <c r="A3" s="5" t="s">
        <v>551</v>
      </c>
      <c r="B3" s="5"/>
      <c r="C3" s="5"/>
      <c r="E3" s="5" t="s">
        <v>553</v>
      </c>
      <c r="F3" s="5"/>
      <c r="G3" s="5"/>
      <c r="H3" s="5"/>
      <c r="I3" s="5"/>
    </row>
    <row r="5" spans="1:9" ht="18" x14ac:dyDescent="0.35">
      <c r="A5" s="6" t="str" cm="1">
        <f t="array" ref="A5:B14">_xlfn.CHOOSEROWS(_xlfn._xlws.SORT(_xlfn.HSTACK(_xlfn.UNIQUE(Dataset!E2:E250), SUMIFS(Dataset!O2:O250, Dataset!E2:E250, _xlfn.UNIQUE(Dataset!E2:E250))), 2, -1), _xlfn.SEQUENCE(10))</f>
        <v>Kavya Patel</v>
      </c>
      <c r="B5" s="32">
        <v>785542.24</v>
      </c>
      <c r="E5" s="7" t="str" cm="1">
        <f t="array" ref="E5">INDEX(Dataset!K2:K250, MODE(MATCH(Dataset!K2:K250, Dataset!K2:K250, 0)))</f>
        <v>Laptop</v>
      </c>
    </row>
    <row r="6" spans="1:9" ht="18" x14ac:dyDescent="0.35">
      <c r="A6" s="6" t="str">
        <v>Dev Shah</v>
      </c>
      <c r="B6" s="33">
        <v>625417.67999999993</v>
      </c>
    </row>
    <row r="7" spans="1:9" ht="18" x14ac:dyDescent="0.35">
      <c r="A7" s="6" t="str">
        <v>Ishaan Shah</v>
      </c>
      <c r="B7" s="33">
        <v>304143.57</v>
      </c>
    </row>
    <row r="8" spans="1:9" ht="18" x14ac:dyDescent="0.35">
      <c r="A8" s="6" t="str">
        <v>Rohan Shah</v>
      </c>
      <c r="B8" s="33">
        <v>288697.44999999995</v>
      </c>
    </row>
    <row r="9" spans="1:9" ht="18" x14ac:dyDescent="0.35">
      <c r="A9" s="6" t="str">
        <v>Kavya Shah</v>
      </c>
      <c r="B9" s="33">
        <v>287541.58</v>
      </c>
    </row>
    <row r="10" spans="1:9" ht="18" x14ac:dyDescent="0.35">
      <c r="A10" s="6" t="str">
        <v>Riya Shah</v>
      </c>
      <c r="B10" s="33">
        <v>285679.52</v>
      </c>
    </row>
    <row r="11" spans="1:9" ht="18" x14ac:dyDescent="0.35">
      <c r="A11" s="6" t="str">
        <v>Jiya Patel</v>
      </c>
      <c r="B11" s="33">
        <v>280732.81</v>
      </c>
    </row>
    <row r="12" spans="1:9" ht="18" x14ac:dyDescent="0.35">
      <c r="A12" s="6" t="str">
        <v>Avni Shah</v>
      </c>
      <c r="B12" s="33">
        <v>274760.96000000002</v>
      </c>
    </row>
    <row r="13" spans="1:9" ht="18" x14ac:dyDescent="0.35">
      <c r="A13" s="6" t="str">
        <v>Priya Shah</v>
      </c>
      <c r="B13" s="33">
        <v>268725.62</v>
      </c>
    </row>
    <row r="14" spans="1:9" ht="18" x14ac:dyDescent="0.35">
      <c r="A14" s="6" t="str">
        <v>Anaya Shah</v>
      </c>
      <c r="B14" s="34">
        <v>265947.38</v>
      </c>
    </row>
    <row r="18" spans="1:4" x14ac:dyDescent="0.3">
      <c r="A18" s="5" t="s">
        <v>552</v>
      </c>
      <c r="B18" s="5"/>
      <c r="C18" s="5"/>
      <c r="D18" s="5"/>
    </row>
    <row r="19" spans="1:4" x14ac:dyDescent="0.3">
      <c r="A19" s="13" t="s">
        <v>558</v>
      </c>
      <c r="B19" s="14" t="s">
        <v>559</v>
      </c>
      <c r="C19" s="13" t="s">
        <v>560</v>
      </c>
      <c r="D19" s="15" t="s">
        <v>561</v>
      </c>
    </row>
    <row r="20" spans="1:4" x14ac:dyDescent="0.3">
      <c r="A20" s="16" t="str" cm="1">
        <f t="array" ref="A20:A78">_xlfn.UNIQUE(Dataset!E2:E250)</f>
        <v>Avni Patel</v>
      </c>
      <c r="B20">
        <f>IFERROR(SUMIF(Dataset!E:E,A20,Dataset!Q:Q),0)</f>
        <v>49235.89</v>
      </c>
      <c r="C20" s="4">
        <f>IFERROR(SUMIF(Dataset!E:E,A20,Dataset!L:L),0)</f>
        <v>11</v>
      </c>
      <c r="D20" s="17" t="str">
        <f>IFERROR(_xlfn.XLOOKUP(A20,Dataset!E:E,Dataset!T:T),"Not Found")</f>
        <v>Returning</v>
      </c>
    </row>
    <row r="21" spans="1:4" x14ac:dyDescent="0.3">
      <c r="A21" s="4" t="str">
        <v>Isha Patel</v>
      </c>
      <c r="B21">
        <f>IFERROR(SUMIF(Dataset!E:E,A21,Dataset!Q:Q),0)</f>
        <v>22294.239999999998</v>
      </c>
      <c r="C21" s="4">
        <f>IFERROR(SUMIF(Dataset!E:E,A21,Dataset!L:L),0)</f>
        <v>17</v>
      </c>
      <c r="D21" s="4" t="str">
        <f>IFERROR(_xlfn.XLOOKUP(A21,Dataset!E:E,Dataset!T:T),"Not Found")</f>
        <v>VIP</v>
      </c>
    </row>
    <row r="22" spans="1:4" x14ac:dyDescent="0.3">
      <c r="A22" s="4" t="str">
        <v>Riya Shah</v>
      </c>
      <c r="B22">
        <f>IFERROR(SUMIF(Dataset!E:E,A22,Dataset!Q:Q),0)</f>
        <v>79947.469999999987</v>
      </c>
      <c r="C22" s="4">
        <f>IFERROR(SUMIF(Dataset!E:E,A22,Dataset!L:L),0)</f>
        <v>27</v>
      </c>
      <c r="D22" s="4" t="str">
        <f>IFERROR(_xlfn.XLOOKUP(A22,Dataset!E:E,Dataset!T:T),"Not Found")</f>
        <v>VIP</v>
      </c>
    </row>
    <row r="23" spans="1:4" x14ac:dyDescent="0.3">
      <c r="A23" s="4" t="str">
        <v>Aditya Shah</v>
      </c>
      <c r="B23">
        <f>IFERROR(SUMIF(Dataset!E:E,A23,Dataset!Q:Q),0)</f>
        <v>32115.08</v>
      </c>
      <c r="C23" s="4">
        <f>IFERROR(SUMIF(Dataset!E:E,A23,Dataset!L:L),0)</f>
        <v>17</v>
      </c>
      <c r="D23" s="4" t="str">
        <f>IFERROR(_xlfn.XLOOKUP(A23,Dataset!E:E,Dataset!T:T),"Not Found")</f>
        <v>New</v>
      </c>
    </row>
    <row r="24" spans="1:4" x14ac:dyDescent="0.3">
      <c r="A24" s="4" t="str">
        <v>Vivaan Patel</v>
      </c>
      <c r="B24">
        <f>IFERROR(SUMIF(Dataset!E:E,A24,Dataset!Q:Q),0)</f>
        <v>26143.63</v>
      </c>
      <c r="C24" s="4">
        <f>IFERROR(SUMIF(Dataset!E:E,A24,Dataset!L:L),0)</f>
        <v>18</v>
      </c>
      <c r="D24" s="17" t="str">
        <f>IFERROR(_xlfn.XLOOKUP(A24,Dataset!E:E,Dataset!T:T),"Not Found")</f>
        <v>Returning</v>
      </c>
    </row>
    <row r="25" spans="1:4" x14ac:dyDescent="0.3">
      <c r="A25" s="4" t="str">
        <v>Kabir Patel</v>
      </c>
      <c r="B25">
        <f>IFERROR(SUMIF(Dataset!E:E,A25,Dataset!Q:Q),0)</f>
        <v>5110.29</v>
      </c>
      <c r="C25" s="4">
        <f>IFERROR(SUMIF(Dataset!E:E,A25,Dataset!L:L),0)</f>
        <v>6</v>
      </c>
      <c r="D25" s="4" t="str">
        <f>IFERROR(_xlfn.XLOOKUP(A25,Dataset!E:E,Dataset!T:T),"Not Found")</f>
        <v>New</v>
      </c>
    </row>
    <row r="26" spans="1:4" x14ac:dyDescent="0.3">
      <c r="A26" s="4" t="str">
        <v>Riya Patel</v>
      </c>
      <c r="B26">
        <f>IFERROR(SUMIF(Dataset!E:E,A26,Dataset!Q:Q),0)</f>
        <v>12355.93</v>
      </c>
      <c r="C26" s="4">
        <f>IFERROR(SUMIF(Dataset!E:E,A26,Dataset!L:L),0)</f>
        <v>21</v>
      </c>
      <c r="D26" s="4" t="str">
        <f>IFERROR(_xlfn.XLOOKUP(A26,Dataset!E:E,Dataset!T:T),"Not Found")</f>
        <v>New</v>
      </c>
    </row>
    <row r="27" spans="1:4" x14ac:dyDescent="0.3">
      <c r="A27" s="4" t="str">
        <v>Aarav Shah</v>
      </c>
      <c r="B27">
        <f>IFERROR(SUMIF(Dataset!E:E,A27,Dataset!Q:Q),0)</f>
        <v>3171.87</v>
      </c>
      <c r="C27" s="4">
        <f>IFERROR(SUMIF(Dataset!E:E,A27,Dataset!L:L),0)</f>
        <v>7</v>
      </c>
      <c r="D27" s="4" t="str">
        <f>IFERROR(_xlfn.XLOOKUP(A27,Dataset!E:E,Dataset!T:T),"Not Found")</f>
        <v>VIP</v>
      </c>
    </row>
    <row r="28" spans="1:4" x14ac:dyDescent="0.3">
      <c r="A28" s="4" t="str">
        <v>Priya Patel</v>
      </c>
      <c r="B28">
        <f>IFERROR(SUMIF(Dataset!E:E,A28,Dataset!Q:Q),0)</f>
        <v>7539.7000000000007</v>
      </c>
      <c r="C28" s="4">
        <f>IFERROR(SUMIF(Dataset!E:E,A28,Dataset!L:L),0)</f>
        <v>7</v>
      </c>
      <c r="D28" s="4" t="str">
        <f>IFERROR(_xlfn.XLOOKUP(A28,Dataset!E:E,Dataset!T:T),"Not Found")</f>
        <v>New</v>
      </c>
    </row>
    <row r="29" spans="1:4" x14ac:dyDescent="0.3">
      <c r="A29" s="4" t="str">
        <v>Mahi Patel</v>
      </c>
      <c r="B29">
        <f>IFERROR(SUMIF(Dataset!E:E,A29,Dataset!Q:Q),0)</f>
        <v>19485.150000000001</v>
      </c>
      <c r="C29" s="4">
        <f>IFERROR(SUMIF(Dataset!E:E,A29,Dataset!L:L),0)</f>
        <v>10</v>
      </c>
      <c r="D29" s="4" t="str">
        <f>IFERROR(_xlfn.XLOOKUP(A29,Dataset!E:E,Dataset!T:T),"Not Found")</f>
        <v>VIP</v>
      </c>
    </row>
    <row r="30" spans="1:4" x14ac:dyDescent="0.3">
      <c r="A30" s="4" t="str">
        <v>Rohan Patel</v>
      </c>
      <c r="B30">
        <f>IFERROR(SUMIF(Dataset!E:E,A30,Dataset!Q:Q),0)</f>
        <v>3153.4100000000003</v>
      </c>
      <c r="C30" s="4">
        <f>IFERROR(SUMIF(Dataset!E:E,A30,Dataset!L:L),0)</f>
        <v>5</v>
      </c>
      <c r="D30" s="17" t="str">
        <f>IFERROR(_xlfn.XLOOKUP(A30,Dataset!E:E,Dataset!T:T),"Not Found")</f>
        <v>Returning</v>
      </c>
    </row>
    <row r="31" spans="1:4" x14ac:dyDescent="0.3">
      <c r="A31" s="4" t="str">
        <v>Meera Shah</v>
      </c>
      <c r="B31">
        <f>IFERROR(SUMIF(Dataset!E:E,A31,Dataset!Q:Q),0)</f>
        <v>1233.5999999999999</v>
      </c>
      <c r="C31" s="4">
        <f>IFERROR(SUMIF(Dataset!E:E,A31,Dataset!L:L),0)</f>
        <v>8</v>
      </c>
      <c r="D31" s="4" t="str">
        <f>IFERROR(_xlfn.XLOOKUP(A31,Dataset!E:E,Dataset!T:T),"Not Found")</f>
        <v>New</v>
      </c>
    </row>
    <row r="32" spans="1:4" x14ac:dyDescent="0.3">
      <c r="A32" s="4" t="str">
        <v>Jiya Patel</v>
      </c>
      <c r="B32">
        <f>IFERROR(SUMIF(Dataset!E:E,A32,Dataset!Q:Q),0)</f>
        <v>92235.299999999988</v>
      </c>
      <c r="C32" s="4">
        <f>IFERROR(SUMIF(Dataset!E:E,A32,Dataset!L:L),0)</f>
        <v>14</v>
      </c>
      <c r="D32" s="4" t="str">
        <f>IFERROR(_xlfn.XLOOKUP(A32,Dataset!E:E,Dataset!T:T),"Not Found")</f>
        <v>New</v>
      </c>
    </row>
    <row r="33" spans="1:4" x14ac:dyDescent="0.3">
      <c r="A33" s="4" t="str">
        <v>Meera Patel</v>
      </c>
      <c r="B33">
        <f>IFERROR(SUMIF(Dataset!E:E,A33,Dataset!Q:Q),0)</f>
        <v>9529.4499999999989</v>
      </c>
      <c r="C33" s="4">
        <f>IFERROR(SUMIF(Dataset!E:E,A33,Dataset!L:L),0)</f>
        <v>14</v>
      </c>
      <c r="D33" s="4" t="str">
        <f>IFERROR(_xlfn.XLOOKUP(A33,Dataset!E:E,Dataset!T:T),"Not Found")</f>
        <v>New</v>
      </c>
    </row>
    <row r="34" spans="1:4" x14ac:dyDescent="0.3">
      <c r="A34" s="4" t="str">
        <v>Aanya Patel</v>
      </c>
      <c r="B34">
        <f>IFERROR(SUMIF(Dataset!E:E,A34,Dataset!Q:Q),0)</f>
        <v>11531.410000000002</v>
      </c>
      <c r="C34" s="4">
        <f>IFERROR(SUMIF(Dataset!E:E,A34,Dataset!L:L),0)</f>
        <v>25</v>
      </c>
      <c r="D34" s="17" t="str">
        <f>IFERROR(_xlfn.XLOOKUP(A34,Dataset!E:E,Dataset!T:T),"Not Found")</f>
        <v>Returning</v>
      </c>
    </row>
    <row r="35" spans="1:4" x14ac:dyDescent="0.3">
      <c r="A35" s="4" t="str">
        <v>Anaya Patel</v>
      </c>
      <c r="B35">
        <f>IFERROR(SUMIF(Dataset!E:E,A35,Dataset!Q:Q),0)</f>
        <v>2832.24</v>
      </c>
      <c r="C35" s="4">
        <f>IFERROR(SUMIF(Dataset!E:E,A35,Dataset!L:L),0)</f>
        <v>15</v>
      </c>
      <c r="D35" s="17" t="str">
        <f>IFERROR(_xlfn.XLOOKUP(A35,Dataset!E:E,Dataset!T:T),"Not Found")</f>
        <v>Returning</v>
      </c>
    </row>
    <row r="36" spans="1:4" x14ac:dyDescent="0.3">
      <c r="A36" s="4" t="str">
        <v>Rahul Shah</v>
      </c>
      <c r="B36">
        <f>IFERROR(SUMIF(Dataset!E:E,A36,Dataset!Q:Q),0)</f>
        <v>26933.010000000002</v>
      </c>
      <c r="C36" s="4">
        <f>IFERROR(SUMIF(Dataset!E:E,A36,Dataset!L:L),0)</f>
        <v>30</v>
      </c>
      <c r="D36" s="4" t="str">
        <f>IFERROR(_xlfn.XLOOKUP(A36,Dataset!E:E,Dataset!T:T),"Not Found")</f>
        <v>New</v>
      </c>
    </row>
    <row r="37" spans="1:4" x14ac:dyDescent="0.3">
      <c r="A37" s="4" t="str">
        <v>Diya Patel</v>
      </c>
      <c r="B37">
        <f>IFERROR(SUMIF(Dataset!E:E,A37,Dataset!Q:Q),0)</f>
        <v>13006.03</v>
      </c>
      <c r="C37" s="4">
        <f>IFERROR(SUMIF(Dataset!E:E,A37,Dataset!L:L),0)</f>
        <v>14</v>
      </c>
      <c r="D37" s="4" t="str">
        <f>IFERROR(_xlfn.XLOOKUP(A37,Dataset!E:E,Dataset!T:T),"Not Found")</f>
        <v>VIP</v>
      </c>
    </row>
    <row r="38" spans="1:4" x14ac:dyDescent="0.3">
      <c r="A38" s="4" t="str">
        <v>Aanya Shah</v>
      </c>
      <c r="B38">
        <f>IFERROR(SUMIF(Dataset!E:E,A38,Dataset!Q:Q),0)</f>
        <v>18996.469999999998</v>
      </c>
      <c r="C38" s="4">
        <f>IFERROR(SUMIF(Dataset!E:E,A38,Dataset!L:L),0)</f>
        <v>12</v>
      </c>
      <c r="D38" s="17" t="str">
        <f>IFERROR(_xlfn.XLOOKUP(A38,Dataset!E:E,Dataset!T:T),"Not Found")</f>
        <v>Returning</v>
      </c>
    </row>
    <row r="39" spans="1:4" x14ac:dyDescent="0.3">
      <c r="A39" s="4" t="str">
        <v>Yash Patel</v>
      </c>
      <c r="B39">
        <f>IFERROR(SUMIF(Dataset!E:E,A39,Dataset!Q:Q),0)</f>
        <v>1995.1299999999999</v>
      </c>
      <c r="C39" s="4">
        <f>IFERROR(SUMIF(Dataset!E:E,A39,Dataset!L:L),0)</f>
        <v>9</v>
      </c>
      <c r="D39" s="4" t="str">
        <f>IFERROR(_xlfn.XLOOKUP(A39,Dataset!E:E,Dataset!T:T),"Not Found")</f>
        <v>New</v>
      </c>
    </row>
    <row r="40" spans="1:4" x14ac:dyDescent="0.3">
      <c r="A40" s="4" t="str">
        <v>Dev Patel</v>
      </c>
      <c r="B40">
        <f>IFERROR(SUMIF(Dataset!E:E,A40,Dataset!Q:Q),0)</f>
        <v>17557.62</v>
      </c>
      <c r="C40" s="4">
        <f>IFERROR(SUMIF(Dataset!E:E,A40,Dataset!L:L),0)</f>
        <v>18</v>
      </c>
      <c r="D40" s="17" t="str">
        <f>IFERROR(_xlfn.XLOOKUP(A40,Dataset!E:E,Dataset!T:T),"Not Found")</f>
        <v>Returning</v>
      </c>
    </row>
    <row r="41" spans="1:4" x14ac:dyDescent="0.3">
      <c r="A41" s="4" t="str">
        <v>Aditya Patel</v>
      </c>
      <c r="B41">
        <f>IFERROR(SUMIF(Dataset!E:E,A41,Dataset!Q:Q),0)</f>
        <v>26775.460000000003</v>
      </c>
      <c r="C41" s="4">
        <f>IFERROR(SUMIF(Dataset!E:E,A41,Dataset!L:L),0)</f>
        <v>5</v>
      </c>
      <c r="D41" s="4" t="str">
        <f>IFERROR(_xlfn.XLOOKUP(A41,Dataset!E:E,Dataset!T:T),"Not Found")</f>
        <v>New</v>
      </c>
    </row>
    <row r="42" spans="1:4" x14ac:dyDescent="0.3">
      <c r="A42" s="4" t="str">
        <v>Khushi Shah</v>
      </c>
      <c r="B42">
        <f>IFERROR(SUMIF(Dataset!E:E,A42,Dataset!Q:Q),0)</f>
        <v>11445.140000000001</v>
      </c>
      <c r="C42" s="4">
        <f>IFERROR(SUMIF(Dataset!E:E,A42,Dataset!L:L),0)</f>
        <v>15</v>
      </c>
      <c r="D42" s="4" t="str">
        <f>IFERROR(_xlfn.XLOOKUP(A42,Dataset!E:E,Dataset!T:T),"Not Found")</f>
        <v>New</v>
      </c>
    </row>
    <row r="43" spans="1:4" x14ac:dyDescent="0.3">
      <c r="A43" s="4" t="str">
        <v>Priya Shah</v>
      </c>
      <c r="B43">
        <f>IFERROR(SUMIF(Dataset!E:E,A43,Dataset!Q:Q),0)</f>
        <v>89169.68</v>
      </c>
      <c r="C43" s="4">
        <f>IFERROR(SUMIF(Dataset!E:E,A43,Dataset!L:L),0)</f>
        <v>11</v>
      </c>
      <c r="D43" s="17" t="str">
        <f>IFERROR(_xlfn.XLOOKUP(A43,Dataset!E:E,Dataset!T:T),"Not Found")</f>
        <v>Returning</v>
      </c>
    </row>
    <row r="44" spans="1:4" x14ac:dyDescent="0.3">
      <c r="A44" s="4" t="str">
        <v>Aryan Patel</v>
      </c>
      <c r="B44">
        <f>IFERROR(SUMIF(Dataset!E:E,A44,Dataset!Q:Q),0)</f>
        <v>6212.46</v>
      </c>
      <c r="C44" s="4">
        <f>IFERROR(SUMIF(Dataset!E:E,A44,Dataset!L:L),0)</f>
        <v>17</v>
      </c>
      <c r="D44" s="4" t="str">
        <f>IFERROR(_xlfn.XLOOKUP(A44,Dataset!E:E,Dataset!T:T),"Not Found")</f>
        <v>New</v>
      </c>
    </row>
    <row r="45" spans="1:4" x14ac:dyDescent="0.3">
      <c r="A45" s="4" t="str">
        <v>Arjun Shah</v>
      </c>
      <c r="B45">
        <f>IFERROR(SUMIF(Dataset!E:E,A45,Dataset!Q:Q),0)</f>
        <v>48163.11</v>
      </c>
      <c r="C45" s="4">
        <f>IFERROR(SUMIF(Dataset!E:E,A45,Dataset!L:L),0)</f>
        <v>28</v>
      </c>
      <c r="D45" s="17" t="str">
        <f>IFERROR(_xlfn.XLOOKUP(A45,Dataset!E:E,Dataset!T:T),"Not Found")</f>
        <v>Returning</v>
      </c>
    </row>
    <row r="46" spans="1:4" x14ac:dyDescent="0.3">
      <c r="A46" s="4" t="str">
        <v>Kavya Patel</v>
      </c>
      <c r="B46">
        <f>IFERROR(SUMIF(Dataset!E:E,A46,Dataset!Q:Q),0)</f>
        <v>212756.78</v>
      </c>
      <c r="C46" s="4">
        <f>IFERROR(SUMIF(Dataset!E:E,A46,Dataset!L:L),0)</f>
        <v>16</v>
      </c>
      <c r="D46" s="4" t="str">
        <f>IFERROR(_xlfn.XLOOKUP(A46,Dataset!E:E,Dataset!T:T),"Not Found")</f>
        <v>New</v>
      </c>
    </row>
    <row r="47" spans="1:4" x14ac:dyDescent="0.3">
      <c r="A47" s="4" t="str">
        <v>Kavya Shah</v>
      </c>
      <c r="B47">
        <f>IFERROR(SUMIF(Dataset!E:E,A47,Dataset!Q:Q),0)</f>
        <v>80315.179999999993</v>
      </c>
      <c r="C47" s="4">
        <f>IFERROR(SUMIF(Dataset!E:E,A47,Dataset!L:L),0)</f>
        <v>17</v>
      </c>
      <c r="D47" s="4" t="str">
        <f>IFERROR(_xlfn.XLOOKUP(A47,Dataset!E:E,Dataset!T:T),"Not Found")</f>
        <v>New</v>
      </c>
    </row>
    <row r="48" spans="1:4" x14ac:dyDescent="0.3">
      <c r="A48" s="4" t="str">
        <v>Manav Shah</v>
      </c>
      <c r="B48">
        <f>IFERROR(SUMIF(Dataset!E:E,A48,Dataset!Q:Q),0)</f>
        <v>6116.66</v>
      </c>
      <c r="C48" s="4">
        <f>IFERROR(SUMIF(Dataset!E:E,A48,Dataset!L:L),0)</f>
        <v>16</v>
      </c>
      <c r="D48" s="4" t="str">
        <f>IFERROR(_xlfn.XLOOKUP(A48,Dataset!E:E,Dataset!T:T),"Not Found")</f>
        <v>New</v>
      </c>
    </row>
    <row r="49" spans="1:4" x14ac:dyDescent="0.3">
      <c r="A49" s="4" t="str">
        <v>Mahi Shah</v>
      </c>
      <c r="B49">
        <f>IFERROR(SUMIF(Dataset!E:E,A49,Dataset!Q:Q),0)</f>
        <v>61304.91</v>
      </c>
      <c r="C49" s="4">
        <f>IFERROR(SUMIF(Dataset!E:E,A49,Dataset!L:L),0)</f>
        <v>8</v>
      </c>
      <c r="D49" s="4" t="str">
        <f>IFERROR(_xlfn.XLOOKUP(A49,Dataset!E:E,Dataset!T:T),"Not Found")</f>
        <v>VIP</v>
      </c>
    </row>
    <row r="50" spans="1:4" x14ac:dyDescent="0.3">
      <c r="A50" s="4" t="str">
        <v>Diya Shah</v>
      </c>
      <c r="B50">
        <f>IFERROR(SUMIF(Dataset!E:E,A50,Dataset!Q:Q),0)</f>
        <v>3655.09</v>
      </c>
      <c r="C50" s="4">
        <f>IFERROR(SUMIF(Dataset!E:E,A50,Dataset!L:L),0)</f>
        <v>10</v>
      </c>
      <c r="D50" s="4" t="str">
        <f>IFERROR(_xlfn.XLOOKUP(A50,Dataset!E:E,Dataset!T:T),"Not Found")</f>
        <v>New</v>
      </c>
    </row>
    <row r="51" spans="1:4" x14ac:dyDescent="0.3">
      <c r="A51" s="4" t="str">
        <v>Harsh Shah</v>
      </c>
      <c r="B51">
        <f>IFERROR(SUMIF(Dataset!E:E,A51,Dataset!Q:Q),0)</f>
        <v>20458.650000000001</v>
      </c>
      <c r="C51" s="4">
        <f>IFERROR(SUMIF(Dataset!E:E,A51,Dataset!L:L),0)</f>
        <v>20</v>
      </c>
      <c r="D51" s="17" t="str">
        <f>IFERROR(_xlfn.XLOOKUP(A51,Dataset!E:E,Dataset!T:T),"Not Found")</f>
        <v>Returning</v>
      </c>
    </row>
    <row r="52" spans="1:4" x14ac:dyDescent="0.3">
      <c r="A52" s="4" t="str">
        <v>Rohan Shah</v>
      </c>
      <c r="B52">
        <f>IFERROR(SUMIF(Dataset!E:E,A52,Dataset!Q:Q),0)</f>
        <v>97208.709999999992</v>
      </c>
      <c r="C52" s="4">
        <f>IFERROR(SUMIF(Dataset!E:E,A52,Dataset!L:L),0)</f>
        <v>15</v>
      </c>
      <c r="D52" s="4" t="str">
        <f>IFERROR(_xlfn.XLOOKUP(A52,Dataset!E:E,Dataset!T:T),"Not Found")</f>
        <v>VIP</v>
      </c>
    </row>
    <row r="53" spans="1:4" x14ac:dyDescent="0.3">
      <c r="A53" s="4" t="str">
        <v>Dhruv Patel</v>
      </c>
      <c r="B53">
        <f>IFERROR(SUMIF(Dataset!E:E,A53,Dataset!Q:Q),0)</f>
        <v>68053.100000000006</v>
      </c>
      <c r="C53" s="4">
        <f>IFERROR(SUMIF(Dataset!E:E,A53,Dataset!L:L),0)</f>
        <v>13</v>
      </c>
      <c r="D53" s="17" t="str">
        <f>IFERROR(_xlfn.XLOOKUP(A53,Dataset!E:E,Dataset!T:T),"Not Found")</f>
        <v>Returning</v>
      </c>
    </row>
    <row r="54" spans="1:4" x14ac:dyDescent="0.3">
      <c r="A54" s="4" t="str">
        <v>Harsh Patel</v>
      </c>
      <c r="B54">
        <f>IFERROR(SUMIF(Dataset!E:E,A54,Dataset!Q:Q),0)</f>
        <v>59889.86</v>
      </c>
      <c r="C54" s="4">
        <f>IFERROR(SUMIF(Dataset!E:E,A54,Dataset!L:L),0)</f>
        <v>21</v>
      </c>
      <c r="D54" s="17" t="str">
        <f>IFERROR(_xlfn.XLOOKUP(A54,Dataset!E:E,Dataset!T:T),"Not Found")</f>
        <v>Returning</v>
      </c>
    </row>
    <row r="55" spans="1:4" x14ac:dyDescent="0.3">
      <c r="A55" s="4" t="str">
        <v>Shreya Shah</v>
      </c>
      <c r="B55">
        <f>IFERROR(SUMIF(Dataset!E:E,A55,Dataset!Q:Q),0)</f>
        <v>17807.57</v>
      </c>
      <c r="C55" s="4">
        <f>IFERROR(SUMIF(Dataset!E:E,A55,Dataset!L:L),0)</f>
        <v>7</v>
      </c>
      <c r="D55" s="4" t="str">
        <f>IFERROR(_xlfn.XLOOKUP(A55,Dataset!E:E,Dataset!T:T),"Not Found")</f>
        <v>New</v>
      </c>
    </row>
    <row r="56" spans="1:4" x14ac:dyDescent="0.3">
      <c r="A56" s="4" t="str">
        <v>Yash Shah</v>
      </c>
      <c r="B56">
        <f>IFERROR(SUMIF(Dataset!E:E,A56,Dataset!Q:Q),0)</f>
        <v>16540.309999999998</v>
      </c>
      <c r="C56" s="4">
        <f>IFERROR(SUMIF(Dataset!E:E,A56,Dataset!L:L),0)</f>
        <v>12</v>
      </c>
      <c r="D56" s="4" t="str">
        <f>IFERROR(_xlfn.XLOOKUP(A56,Dataset!E:E,Dataset!T:T),"Not Found")</f>
        <v>New</v>
      </c>
    </row>
    <row r="57" spans="1:4" x14ac:dyDescent="0.3">
      <c r="A57" s="4" t="str">
        <v>Ishaan Patel</v>
      </c>
      <c r="B57">
        <f>IFERROR(SUMIF(Dataset!E:E,A57,Dataset!Q:Q),0)</f>
        <v>3326.21</v>
      </c>
      <c r="C57" s="4">
        <f>IFERROR(SUMIF(Dataset!E:E,A57,Dataset!L:L),0)</f>
        <v>7</v>
      </c>
      <c r="D57" s="4" t="str">
        <f>IFERROR(_xlfn.XLOOKUP(A57,Dataset!E:E,Dataset!T:T),"Not Found")</f>
        <v>New</v>
      </c>
    </row>
    <row r="58" spans="1:4" x14ac:dyDescent="0.3">
      <c r="A58" s="4" t="str">
        <v>Aryan Shah</v>
      </c>
      <c r="B58">
        <f>IFERROR(SUMIF(Dataset!E:E,A58,Dataset!Q:Q),0)</f>
        <v>71615.060000000012</v>
      </c>
      <c r="C58" s="4">
        <f>IFERROR(SUMIF(Dataset!E:E,A58,Dataset!L:L),0)</f>
        <v>13</v>
      </c>
      <c r="D58" s="4" t="str">
        <f>IFERROR(_xlfn.XLOOKUP(A58,Dataset!E:E,Dataset!T:T),"Not Found")</f>
        <v>New</v>
      </c>
    </row>
    <row r="59" spans="1:4" x14ac:dyDescent="0.3">
      <c r="A59" s="4" t="str">
        <v>Pooja Shah</v>
      </c>
      <c r="B59">
        <f>IFERROR(SUMIF(Dataset!E:E,A59,Dataset!Q:Q),0)</f>
        <v>4796.33</v>
      </c>
      <c r="C59" s="4">
        <f>IFERROR(SUMIF(Dataset!E:E,A59,Dataset!L:L),0)</f>
        <v>14</v>
      </c>
      <c r="D59" s="17" t="str">
        <f>IFERROR(_xlfn.XLOOKUP(A59,Dataset!E:E,Dataset!T:T),"Not Found")</f>
        <v>Returning</v>
      </c>
    </row>
    <row r="60" spans="1:4" x14ac:dyDescent="0.3">
      <c r="A60" s="4" t="str">
        <v>Shreya Patel</v>
      </c>
      <c r="B60">
        <f>IFERROR(SUMIF(Dataset!E:E,A60,Dataset!Q:Q),0)</f>
        <v>6759.24</v>
      </c>
      <c r="C60" s="4">
        <f>IFERROR(SUMIF(Dataset!E:E,A60,Dataset!L:L),0)</f>
        <v>5</v>
      </c>
      <c r="D60" s="17" t="str">
        <f>IFERROR(_xlfn.XLOOKUP(A60,Dataset!E:E,Dataset!T:T),"Not Found")</f>
        <v>Returning</v>
      </c>
    </row>
    <row r="61" spans="1:4" x14ac:dyDescent="0.3">
      <c r="A61" s="4" t="str">
        <v>Aarav Patel</v>
      </c>
      <c r="B61">
        <f>IFERROR(SUMIF(Dataset!E:E,A61,Dataset!Q:Q),0)</f>
        <v>7577.6200000000008</v>
      </c>
      <c r="C61" s="4">
        <f>IFERROR(SUMIF(Dataset!E:E,A61,Dataset!L:L),0)</f>
        <v>8</v>
      </c>
      <c r="D61" s="17" t="str">
        <f>IFERROR(_xlfn.XLOOKUP(A61,Dataset!E:E,Dataset!T:T),"Not Found")</f>
        <v>Returning</v>
      </c>
    </row>
    <row r="62" spans="1:4" x14ac:dyDescent="0.3">
      <c r="A62" s="4" t="str">
        <v>Dev Shah</v>
      </c>
      <c r="B62">
        <f>IFERROR(SUMIF(Dataset!E:E,A62,Dataset!Q:Q),0)</f>
        <v>189112.77000000002</v>
      </c>
      <c r="C62" s="4">
        <f>IFERROR(SUMIF(Dataset!E:E,A62,Dataset!L:L),0)</f>
        <v>26</v>
      </c>
      <c r="D62" s="4" t="str">
        <f>IFERROR(_xlfn.XLOOKUP(A62,Dataset!E:E,Dataset!T:T),"Not Found")</f>
        <v>New</v>
      </c>
    </row>
    <row r="63" spans="1:4" x14ac:dyDescent="0.3">
      <c r="A63" s="4" t="str">
        <v>Avni Shah</v>
      </c>
      <c r="B63">
        <f>IFERROR(SUMIF(Dataset!E:E,A63,Dataset!Q:Q),0)</f>
        <v>96029.430000000008</v>
      </c>
      <c r="C63" s="4">
        <f>IFERROR(SUMIF(Dataset!E:E,A63,Dataset!L:L),0)</f>
        <v>18</v>
      </c>
      <c r="D63" s="17" t="str">
        <f>IFERROR(_xlfn.XLOOKUP(A63,Dataset!E:E,Dataset!T:T),"Not Found")</f>
        <v>Returning</v>
      </c>
    </row>
    <row r="64" spans="1:4" x14ac:dyDescent="0.3">
      <c r="A64" s="4" t="str">
        <v>Jiya Shah</v>
      </c>
      <c r="B64">
        <f>IFERROR(SUMIF(Dataset!E:E,A64,Dataset!Q:Q),0)</f>
        <v>12830.349999999999</v>
      </c>
      <c r="C64" s="4">
        <f>IFERROR(SUMIF(Dataset!E:E,A64,Dataset!L:L),0)</f>
        <v>6</v>
      </c>
      <c r="D64" s="17" t="str">
        <f>IFERROR(_xlfn.XLOOKUP(A64,Dataset!E:E,Dataset!T:T),"Not Found")</f>
        <v>Returning</v>
      </c>
    </row>
    <row r="65" spans="1:4" x14ac:dyDescent="0.3">
      <c r="A65" s="4" t="str">
        <v>Nisha Patel</v>
      </c>
      <c r="B65">
        <f>IFERROR(SUMIF(Dataset!E:E,A65,Dataset!Q:Q),0)</f>
        <v>8045.48</v>
      </c>
      <c r="C65" s="4">
        <f>IFERROR(SUMIF(Dataset!E:E,A65,Dataset!L:L),0)</f>
        <v>7</v>
      </c>
      <c r="D65" s="4" t="str">
        <f>IFERROR(_xlfn.XLOOKUP(A65,Dataset!E:E,Dataset!T:T),"Not Found")</f>
        <v>New</v>
      </c>
    </row>
    <row r="66" spans="1:4" x14ac:dyDescent="0.3">
      <c r="A66" s="4" t="str">
        <v>Kabir Shah</v>
      </c>
      <c r="B66">
        <f>IFERROR(SUMIF(Dataset!E:E,A66,Dataset!Q:Q),0)</f>
        <v>4545.82</v>
      </c>
      <c r="C66" s="4">
        <f>IFERROR(SUMIF(Dataset!E:E,A66,Dataset!L:L),0)</f>
        <v>7</v>
      </c>
      <c r="D66" s="4" t="str">
        <f>IFERROR(_xlfn.XLOOKUP(A66,Dataset!E:E,Dataset!T:T),"Not Found")</f>
        <v>Returning</v>
      </c>
    </row>
    <row r="67" spans="1:4" x14ac:dyDescent="0.3">
      <c r="A67" s="4" t="str">
        <v>Isha Shah</v>
      </c>
      <c r="B67">
        <f>IFERROR(SUMIF(Dataset!E:E,A67,Dataset!Q:Q),0)</f>
        <v>34407.589999999997</v>
      </c>
      <c r="C67" s="4">
        <f>IFERROR(SUMIF(Dataset!E:E,A67,Dataset!L:L),0)</f>
        <v>11</v>
      </c>
      <c r="D67" s="4" t="str">
        <f>IFERROR(_xlfn.XLOOKUP(A67,Dataset!E:E,Dataset!T:T),"Not Found")</f>
        <v>Returning</v>
      </c>
    </row>
    <row r="68" spans="1:4" x14ac:dyDescent="0.3">
      <c r="A68" s="4" t="str">
        <v>Pooja Patel</v>
      </c>
      <c r="B68">
        <f>IFERROR(SUMIF(Dataset!E:E,A68,Dataset!Q:Q),0)</f>
        <v>1342.9199999999998</v>
      </c>
      <c r="C68" s="4">
        <f>IFERROR(SUMIF(Dataset!E:E,A68,Dataset!L:L),0)</f>
        <v>4</v>
      </c>
      <c r="D68" s="4" t="str">
        <f>IFERROR(_xlfn.XLOOKUP(A68,Dataset!E:E,Dataset!T:T),"Not Found")</f>
        <v>Returning</v>
      </c>
    </row>
    <row r="69" spans="1:4" x14ac:dyDescent="0.3">
      <c r="A69" s="4" t="str">
        <v>Anaya Shah</v>
      </c>
      <c r="B69">
        <f>IFERROR(SUMIF(Dataset!E:E,A69,Dataset!Q:Q),0)</f>
        <v>56253.36</v>
      </c>
      <c r="C69" s="4">
        <f>IFERROR(SUMIF(Dataset!E:E,A69,Dataset!L:L),0)</f>
        <v>9</v>
      </c>
      <c r="D69" s="4" t="str">
        <f>IFERROR(_xlfn.XLOOKUP(A69,Dataset!E:E,Dataset!T:T),"Not Found")</f>
        <v>New</v>
      </c>
    </row>
    <row r="70" spans="1:4" x14ac:dyDescent="0.3">
      <c r="A70" s="4" t="str">
        <v>Krish Shah</v>
      </c>
      <c r="B70">
        <f>IFERROR(SUMIF(Dataset!E:E,A70,Dataset!Q:Q),0)</f>
        <v>5308.8899999999994</v>
      </c>
      <c r="C70" s="4">
        <f>IFERROR(SUMIF(Dataset!E:E,A70,Dataset!L:L),0)</f>
        <v>11</v>
      </c>
      <c r="D70" s="17" t="str">
        <f>IFERROR(_xlfn.XLOOKUP(A70,Dataset!E:E,Dataset!T:T),"Not Found")</f>
        <v>Returning</v>
      </c>
    </row>
    <row r="71" spans="1:4" x14ac:dyDescent="0.3">
      <c r="A71" s="4" t="str">
        <v>Rahul Patel</v>
      </c>
      <c r="B71">
        <f>IFERROR(SUMIF(Dataset!E:E,A71,Dataset!Q:Q),0)</f>
        <v>2407.5300000000002</v>
      </c>
      <c r="C71" s="4">
        <f>IFERROR(SUMIF(Dataset!E:E,A71,Dataset!L:L),0)</f>
        <v>9</v>
      </c>
      <c r="D71" s="17" t="str">
        <f>IFERROR(_xlfn.XLOOKUP(A71,Dataset!E:E,Dataset!T:T),"Not Found")</f>
        <v>Returning</v>
      </c>
    </row>
    <row r="72" spans="1:4" x14ac:dyDescent="0.3">
      <c r="A72" s="4" t="str">
        <v>Krish Patel</v>
      </c>
      <c r="B72">
        <f>IFERROR(SUMIF(Dataset!E:E,A72,Dataset!Q:Q),0)</f>
        <v>33160.800000000003</v>
      </c>
      <c r="C72" s="4">
        <f>IFERROR(SUMIF(Dataset!E:E,A72,Dataset!L:L),0)</f>
        <v>15</v>
      </c>
      <c r="D72" s="17" t="str">
        <f>IFERROR(_xlfn.XLOOKUP(A72,Dataset!E:E,Dataset!T:T),"Not Found")</f>
        <v>Returning</v>
      </c>
    </row>
    <row r="73" spans="1:4" x14ac:dyDescent="0.3">
      <c r="A73" s="4" t="str">
        <v>Khushi Patel</v>
      </c>
      <c r="B73">
        <f>IFERROR(SUMIF(Dataset!E:E,A73,Dataset!Q:Q),0)</f>
        <v>4013</v>
      </c>
      <c r="C73" s="4">
        <f>IFERROR(SUMIF(Dataset!E:E,A73,Dataset!L:L),0)</f>
        <v>8</v>
      </c>
      <c r="D73" s="4" t="str">
        <f>IFERROR(_xlfn.XLOOKUP(A73,Dataset!E:E,Dataset!T:T),"Not Found")</f>
        <v>New</v>
      </c>
    </row>
    <row r="74" spans="1:4" x14ac:dyDescent="0.3">
      <c r="A74" s="4" t="str">
        <v>Ishaan Shah</v>
      </c>
      <c r="B74">
        <f>IFERROR(SUMIF(Dataset!E:E,A74,Dataset!Q:Q),0)</f>
        <v>98940.290000000008</v>
      </c>
      <c r="C74" s="4">
        <f>IFERROR(SUMIF(Dataset!E:E,A74,Dataset!L:L),0)</f>
        <v>8</v>
      </c>
      <c r="D74" s="17" t="str">
        <f>IFERROR(_xlfn.XLOOKUP(A74,Dataset!E:E,Dataset!T:T),"Not Found")</f>
        <v>Returning</v>
      </c>
    </row>
    <row r="75" spans="1:4" x14ac:dyDescent="0.3">
      <c r="A75" s="4" t="str">
        <v>Manav Patel</v>
      </c>
      <c r="B75">
        <f>IFERROR(SUMIF(Dataset!E:E,A75,Dataset!Q:Q),0)</f>
        <v>2288.5500000000002</v>
      </c>
      <c r="C75" s="4">
        <f>IFERROR(SUMIF(Dataset!E:E,A75,Dataset!L:L),0)</f>
        <v>5</v>
      </c>
      <c r="D75" s="4" t="str">
        <f>IFERROR(_xlfn.XLOOKUP(A75,Dataset!E:E,Dataset!T:T),"Not Found")</f>
        <v>New</v>
      </c>
    </row>
    <row r="76" spans="1:4" x14ac:dyDescent="0.3">
      <c r="A76" s="4" t="str">
        <v>Vivaan Shah</v>
      </c>
      <c r="B76">
        <f>IFERROR(SUMIF(Dataset!E:E,A76,Dataset!Q:Q),0)</f>
        <v>3351.47</v>
      </c>
      <c r="C76" s="4">
        <f>IFERROR(SUMIF(Dataset!E:E,A76,Dataset!L:L),0)</f>
        <v>5</v>
      </c>
      <c r="D76" s="17" t="str">
        <f>IFERROR(_xlfn.XLOOKUP(A76,Dataset!E:E,Dataset!T:T),"Not Found")</f>
        <v>Returning</v>
      </c>
    </row>
    <row r="77" spans="1:4" x14ac:dyDescent="0.3">
      <c r="A77" s="4" t="str">
        <v>Arjun Patel</v>
      </c>
      <c r="B77">
        <f>IFERROR(SUMIF(Dataset!E:E,A77,Dataset!Q:Q),0)</f>
        <v>25101.200000000001</v>
      </c>
      <c r="C77" s="4">
        <f>IFERROR(SUMIF(Dataset!E:E,A77,Dataset!L:L),0)</f>
        <v>5</v>
      </c>
      <c r="D77" s="4" t="str">
        <f>IFERROR(_xlfn.XLOOKUP(A77,Dataset!E:E,Dataset!T:T),"Not Found")</f>
        <v>New</v>
      </c>
    </row>
    <row r="78" spans="1:4" x14ac:dyDescent="0.3">
      <c r="A78" s="4" t="str">
        <v>Dhruv Shah</v>
      </c>
      <c r="B78">
        <f>IFERROR(SUMIF(Dataset!E:E,A78,Dataset!Q:Q),0)</f>
        <v>13201.49</v>
      </c>
      <c r="C78" s="4">
        <f>IFERROR(SUMIF(Dataset!E:E,A78,Dataset!L:L),0)</f>
        <v>10</v>
      </c>
      <c r="D78" s="4" t="str">
        <f>IFERROR(_xlfn.XLOOKUP(A78,Dataset!E:E,Dataset!T:T),"Not Found")</f>
        <v>New</v>
      </c>
    </row>
  </sheetData>
  <mergeCells count="1">
    <mergeCell ref="A1:E1"/>
  </mergeCells>
  <conditionalFormatting sqref="A20 A22:A34">
    <cfRule type="expression" dxfId="14" priority="36">
      <formula>ISNUMBER(SEARCH("Patel", E2))</formula>
    </cfRule>
    <cfRule type="expression" dxfId="13" priority="37">
      <formula>ISNUMBER(SEARCH("Patel", E2))</formula>
    </cfRule>
    <cfRule type="expression" dxfId="12" priority="38">
      <formula>ISNUMBER(SEARCH("Patel", E2))</formula>
    </cfRule>
    <cfRule type="expression" dxfId="11" priority="39">
      <formula>ISNUMBER(SEARCH("Patel", E2))</formula>
    </cfRule>
    <cfRule type="expression" priority="41">
      <formula>ISNUMBER(SEARCH("Patel", E2))</formula>
    </cfRule>
  </conditionalFormatting>
  <conditionalFormatting sqref="A20:A34">
    <cfRule type="expression" dxfId="10" priority="48">
      <formula>ISNUMBER(SEARCH("Patel", E2))</formula>
    </cfRule>
  </conditionalFormatting>
  <conditionalFormatting sqref="A21 A35">
    <cfRule type="expression" dxfId="9" priority="16">
      <formula>ISNUMBER(SEARCH("Patel", #REF!))</formula>
    </cfRule>
    <cfRule type="expression" dxfId="8" priority="17">
      <formula>ISNUMBER(SEARCH("Patel", #REF!))</formula>
    </cfRule>
    <cfRule type="expression" dxfId="7" priority="18">
      <formula>ISNUMBER(SEARCH("Patel", #REF!))</formula>
    </cfRule>
    <cfRule type="expression" dxfId="6" priority="19">
      <formula>ISNUMBER(SEARCH("Patel", #REF!))</formula>
    </cfRule>
    <cfRule type="expression" priority="21">
      <formula>ISNUMBER(SEARCH("Patel", #REF!))</formula>
    </cfRule>
  </conditionalFormatting>
  <conditionalFormatting sqref="A35">
    <cfRule type="expression" dxfId="5" priority="35">
      <formula>ISNUMBER(SEARCH("Patel", #REF!))</formula>
    </cfRule>
  </conditionalFormatting>
  <conditionalFormatting sqref="A36:A78">
    <cfRule type="expression" dxfId="4" priority="2">
      <formula>ISNUMBER(SEARCH("Patel", E19))</formula>
    </cfRule>
    <cfRule type="expression" dxfId="3" priority="3">
      <formula>ISNUMBER(SEARCH("Patel", E19))</formula>
    </cfRule>
    <cfRule type="expression" dxfId="2" priority="4">
      <formula>ISNUMBER(SEARCH("Patel", E19))</formula>
    </cfRule>
    <cfRule type="expression" dxfId="1" priority="5">
      <formula>ISNUMBER(SEARCH("Patel", E19))</formula>
    </cfRule>
    <cfRule type="expression" dxfId="0" priority="6">
      <formula>ISNUMBER(SEARCH("Patel", E19))</formula>
    </cfRule>
    <cfRule type="expression" priority="8">
      <formula>ISNUMBER(SEARCH("Patel", E19))</formula>
    </cfRule>
  </conditionalFormatting>
  <conditionalFormatting sqref="B5:B1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0:B78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3108F-D6B5-4A39-95EF-B92DF2D15A78}">
  <dimension ref="A1:F24"/>
  <sheetViews>
    <sheetView zoomScale="88" workbookViewId="0">
      <selection activeCell="C31" sqref="C31"/>
    </sheetView>
  </sheetViews>
  <sheetFormatPr defaultRowHeight="14.4" x14ac:dyDescent="0.3"/>
  <cols>
    <col min="1" max="1" width="24.88671875" customWidth="1"/>
    <col min="2" max="2" width="13.6640625" customWidth="1"/>
    <col min="3" max="3" width="22.21875" customWidth="1"/>
    <col min="4" max="4" width="20" customWidth="1"/>
    <col min="5" max="5" width="24" customWidth="1"/>
    <col min="6" max="6" width="22.33203125" customWidth="1"/>
  </cols>
  <sheetData>
    <row r="1" spans="1:6" ht="18" x14ac:dyDescent="0.35">
      <c r="A1" s="45" t="s">
        <v>562</v>
      </c>
      <c r="B1" s="45"/>
      <c r="C1" s="45"/>
      <c r="D1" s="45"/>
      <c r="E1" s="45"/>
      <c r="F1" s="45"/>
    </row>
    <row r="2" spans="1:6" ht="15" thickBot="1" x14ac:dyDescent="0.35">
      <c r="D2" s="4"/>
    </row>
    <row r="3" spans="1:6" x14ac:dyDescent="0.3">
      <c r="A3" s="20" t="s">
        <v>563</v>
      </c>
      <c r="B3" s="21" t="s">
        <v>564</v>
      </c>
      <c r="C3" s="22" t="s">
        <v>565</v>
      </c>
      <c r="D3" s="23" t="s">
        <v>566</v>
      </c>
      <c r="E3" s="22" t="s">
        <v>567</v>
      </c>
      <c r="F3" s="24" t="s">
        <v>568</v>
      </c>
    </row>
    <row r="4" spans="1:6" x14ac:dyDescent="0.3">
      <c r="A4" s="25"/>
      <c r="B4" s="18"/>
      <c r="C4" s="18"/>
      <c r="D4" s="19"/>
      <c r="E4" s="18"/>
      <c r="F4" s="26"/>
    </row>
    <row r="5" spans="1:6" x14ac:dyDescent="0.3">
      <c r="A5" s="27" t="str" cm="1">
        <f t="array" ref="A5:A24">IFERROR(_xlfn._xlws.SORT(_xlfn.UNIQUE(Dataset!K2:K251)),"No Data")</f>
        <v>Air Fryer</v>
      </c>
      <c r="B5" s="18">
        <f>IFERROR(SUMIF(Dataset!K:K,A5,Dataset!L:L),0)</f>
        <v>32</v>
      </c>
      <c r="C5" s="18">
        <f>IFERROR(SUMIF(Dataset!K:K,A5,Dataset!O:O),0)</f>
        <v>189893.91999999998</v>
      </c>
      <c r="D5" s="19">
        <f>IFERROR(SUMIF(Dataset!K:K,A5,Dataset!Q:Q),0)</f>
        <v>56973.520000000004</v>
      </c>
      <c r="E5" s="18">
        <f>IFERROR(COUNTIF(Dataset!K:K,A5),0)</f>
        <v>10</v>
      </c>
      <c r="F5" s="26">
        <f>IFERROR(AVERAGEIF(Dataset!K:K,A5,Dataset!U:U),0)</f>
        <v>4.3</v>
      </c>
    </row>
    <row r="6" spans="1:6" x14ac:dyDescent="0.3">
      <c r="A6" s="27" t="str">
        <v>Backpack</v>
      </c>
      <c r="B6" s="18">
        <f>IFERROR(SUMIF(Dataset!K:K,A6,Dataset!L:L),0)</f>
        <v>40</v>
      </c>
      <c r="C6" s="18">
        <f>IFERROR(SUMIF(Dataset!K:K,A6,Dataset!O:O),0)</f>
        <v>55768.73</v>
      </c>
      <c r="D6" s="19">
        <f>IFERROR(SUMIF(Dataset!K:K,A6,Dataset!Q:Q),0)</f>
        <v>13950.729999999998</v>
      </c>
      <c r="E6" s="18">
        <f>IFERROR(COUNTIF(Dataset!K:K,A6),0)</f>
        <v>17</v>
      </c>
      <c r="F6" s="26">
        <f>IFERROR(AVERAGEIF(Dataset!K:K,A6,Dataset!U:U),0)</f>
        <v>4.1764705882352944</v>
      </c>
    </row>
    <row r="7" spans="1:6" x14ac:dyDescent="0.3">
      <c r="A7" s="27" t="str">
        <v>Coffee</v>
      </c>
      <c r="B7" s="18">
        <f>IFERROR(SUMIF(Dataset!K:K,A7,Dataset!L:L),0)</f>
        <v>33</v>
      </c>
      <c r="C7" s="18">
        <f>IFERROR(SUMIF(Dataset!K:K,A7,Dataset!O:O),0)</f>
        <v>13955.08</v>
      </c>
      <c r="D7" s="19">
        <f>IFERROR(SUMIF(Dataset!K:K,A7,Dataset!Q:Q),0)</f>
        <v>3786.26</v>
      </c>
      <c r="E7" s="18">
        <f>IFERROR(COUNTIF(Dataset!K:K,A7),0)</f>
        <v>11</v>
      </c>
      <c r="F7" s="26">
        <f>IFERROR(AVERAGEIF(Dataset!K:K,A7,Dataset!U:U),0)</f>
        <v>4.0909090909090908</v>
      </c>
    </row>
    <row r="8" spans="1:6" x14ac:dyDescent="0.3">
      <c r="A8" s="27" t="str">
        <v>Dry Fruits</v>
      </c>
      <c r="B8" s="18">
        <f>IFERROR(SUMIF(Dataset!K:K,A8,Dataset!L:L),0)</f>
        <v>68</v>
      </c>
      <c r="C8" s="18">
        <f>IFERROR(SUMIF(Dataset!K:K,A8,Dataset!O:O),0)</f>
        <v>59190.78</v>
      </c>
      <c r="D8" s="19">
        <f>IFERROR(SUMIF(Dataset!K:K,A8,Dataset!Q:Q),0)</f>
        <v>17366.16</v>
      </c>
      <c r="E8" s="18">
        <f>IFERROR(COUNTIF(Dataset!K:K,A8),0)</f>
        <v>20</v>
      </c>
      <c r="F8" s="26">
        <f>IFERROR(AVERAGEIF(Dataset!K:K,A8,Dataset!U:U),0)</f>
        <v>4</v>
      </c>
    </row>
    <row r="9" spans="1:6" x14ac:dyDescent="0.3">
      <c r="A9" s="27" t="str">
        <v>Face Wash</v>
      </c>
      <c r="B9" s="18">
        <f>IFERROR(SUMIF(Dataset!K:K,A9,Dataset!L:L),0)</f>
        <v>26</v>
      </c>
      <c r="C9" s="18">
        <f>IFERROR(SUMIF(Dataset!K:K,A9,Dataset!O:O),0)</f>
        <v>10357.23</v>
      </c>
      <c r="D9" s="19">
        <f>IFERROR(SUMIF(Dataset!K:K,A9,Dataset!Q:Q),0)</f>
        <v>3100.1000000000004</v>
      </c>
      <c r="E9" s="18">
        <f>IFERROR(COUNTIF(Dataset!K:K,A9),0)</f>
        <v>9</v>
      </c>
      <c r="F9" s="26">
        <f>IFERROR(AVERAGEIF(Dataset!K:K,A9,Dataset!U:U),0)</f>
        <v>4.1111111111111107</v>
      </c>
    </row>
    <row r="10" spans="1:6" x14ac:dyDescent="0.3">
      <c r="A10" s="27" t="str">
        <v>Green Tea</v>
      </c>
      <c r="B10" s="18">
        <f>IFERROR(SUMIF(Dataset!K:K,A10,Dataset!L:L),0)</f>
        <v>43</v>
      </c>
      <c r="C10" s="18">
        <f>IFERROR(SUMIF(Dataset!K:K,A10,Dataset!O:O),0)</f>
        <v>12035.11</v>
      </c>
      <c r="D10" s="19">
        <f>IFERROR(SUMIF(Dataset!K:K,A10,Dataset!Q:Q),0)</f>
        <v>3287.2400000000002</v>
      </c>
      <c r="E10" s="18">
        <f>IFERROR(COUNTIF(Dataset!K:K,A10),0)</f>
        <v>14</v>
      </c>
      <c r="F10" s="26">
        <f>IFERROR(AVERAGEIF(Dataset!K:K,A10,Dataset!U:U),0)</f>
        <v>4.0714285714285712</v>
      </c>
    </row>
    <row r="11" spans="1:6" x14ac:dyDescent="0.3">
      <c r="A11" s="27" t="str">
        <v>Headphones</v>
      </c>
      <c r="B11" s="18">
        <f>IFERROR(SUMIF(Dataset!K:K,A11,Dataset!L:L),0)</f>
        <v>41</v>
      </c>
      <c r="C11" s="18">
        <f>IFERROR(SUMIF(Dataset!K:K,A11,Dataset!O:O),0)</f>
        <v>95380.340000000026</v>
      </c>
      <c r="D11" s="19">
        <f>IFERROR(SUMIF(Dataset!K:K,A11,Dataset!Q:Q),0)</f>
        <v>27735.279999999999</v>
      </c>
      <c r="E11" s="18">
        <f>IFERROR(COUNTIF(Dataset!K:K,A11),0)</f>
        <v>13</v>
      </c>
      <c r="F11" s="26">
        <f>IFERROR(AVERAGEIF(Dataset!K:K,A11,Dataset!U:U),0)</f>
        <v>4.3076923076923075</v>
      </c>
    </row>
    <row r="12" spans="1:6" x14ac:dyDescent="0.3">
      <c r="A12" s="27" t="str">
        <v>Jeans</v>
      </c>
      <c r="B12" s="18">
        <f>IFERROR(SUMIF(Dataset!K:K,A12,Dataset!L:L),0)</f>
        <v>39</v>
      </c>
      <c r="C12" s="18">
        <f>IFERROR(SUMIF(Dataset!K:K,A12,Dataset!O:O),0)</f>
        <v>66930.34</v>
      </c>
      <c r="D12" s="19">
        <f>IFERROR(SUMIF(Dataset!K:K,A12,Dataset!Q:Q),0)</f>
        <v>20167.82</v>
      </c>
      <c r="E12" s="18">
        <f>IFERROR(COUNTIF(Dataset!K:K,A12),0)</f>
        <v>13</v>
      </c>
      <c r="F12" s="26">
        <f>IFERROR(AVERAGEIF(Dataset!K:K,A12,Dataset!U:U),0)</f>
        <v>4.3076923076923075</v>
      </c>
    </row>
    <row r="13" spans="1:6" x14ac:dyDescent="0.3">
      <c r="A13" s="27" t="str">
        <v>Laptop</v>
      </c>
      <c r="B13" s="18">
        <f>IFERROR(SUMIF(Dataset!K:K,A13,Dataset!L:L),0)</f>
        <v>79</v>
      </c>
      <c r="C13" s="18">
        <f>IFERROR(SUMIF(Dataset!K:K,A13,Dataset!O:O),0)</f>
        <v>4068930.51</v>
      </c>
      <c r="D13" s="19">
        <f>IFERROR(SUMIF(Dataset!K:K,A13,Dataset!Q:Q),0)</f>
        <v>1184750.7200000002</v>
      </c>
      <c r="E13" s="18">
        <f>IFERROR(COUNTIF(Dataset!K:K,A13),0)</f>
        <v>24</v>
      </c>
      <c r="F13" s="26">
        <f>IFERROR(AVERAGEIF(Dataset!K:K,A13,Dataset!U:U),0)</f>
        <v>4.208333333333333</v>
      </c>
    </row>
    <row r="14" spans="1:6" x14ac:dyDescent="0.3">
      <c r="A14" s="27" t="str">
        <v>Mixer Grinder</v>
      </c>
      <c r="B14" s="18">
        <f>IFERROR(SUMIF(Dataset!K:K,A14,Dataset!L:L),0)</f>
        <v>19</v>
      </c>
      <c r="C14" s="18">
        <f>IFERROR(SUMIF(Dataset!K:K,A14,Dataset!O:O),0)</f>
        <v>59598.03</v>
      </c>
      <c r="D14" s="19">
        <f>IFERROR(SUMIF(Dataset!K:K,A14,Dataset!Q:Q),0)</f>
        <v>17138.21</v>
      </c>
      <c r="E14" s="18">
        <f>IFERROR(COUNTIF(Dataset!K:K,A14),0)</f>
        <v>7</v>
      </c>
      <c r="F14" s="26">
        <f>IFERROR(AVERAGEIF(Dataset!K:K,A14,Dataset!U:U),0)</f>
        <v>4.1428571428571432</v>
      </c>
    </row>
    <row r="15" spans="1:6" x14ac:dyDescent="0.3">
      <c r="A15" s="27" t="str">
        <v>Perfume</v>
      </c>
      <c r="B15" s="18">
        <f>IFERROR(SUMIF(Dataset!K:K,A15,Dataset!L:L),0)</f>
        <v>4</v>
      </c>
      <c r="C15" s="18">
        <f>IFERROR(SUMIF(Dataset!K:K,A15,Dataset!O:O),0)</f>
        <v>6428.6399999999994</v>
      </c>
      <c r="D15" s="19">
        <f>IFERROR(SUMIF(Dataset!K:K,A15,Dataset!Q:Q),0)</f>
        <v>1747.5500000000002</v>
      </c>
      <c r="E15" s="18">
        <f>IFERROR(COUNTIF(Dataset!K:K,A15),0)</f>
        <v>3</v>
      </c>
      <c r="F15" s="26">
        <f>IFERROR(AVERAGEIF(Dataset!K:K,A15,Dataset!U:U),0)</f>
        <v>4.666666666666667</v>
      </c>
    </row>
    <row r="16" spans="1:6" x14ac:dyDescent="0.3">
      <c r="A16" s="27" t="str">
        <v>Protein Bar</v>
      </c>
      <c r="B16" s="18">
        <f>IFERROR(SUMIF(Dataset!K:K,A16,Dataset!L:L),0)</f>
        <v>29</v>
      </c>
      <c r="C16" s="18">
        <f>IFERROR(SUMIF(Dataset!K:K,A16,Dataset!O:O),0)</f>
        <v>6874.66</v>
      </c>
      <c r="D16" s="19">
        <f>IFERROR(SUMIF(Dataset!K:K,A16,Dataset!Q:Q),0)</f>
        <v>1871.48</v>
      </c>
      <c r="E16" s="18">
        <f>IFERROR(COUNTIF(Dataset!K:K,A16),0)</f>
        <v>10</v>
      </c>
      <c r="F16" s="26">
        <f>IFERROR(AVERAGEIF(Dataset!K:K,A16,Dataset!U:U),0)</f>
        <v>4.2</v>
      </c>
    </row>
    <row r="17" spans="1:6" x14ac:dyDescent="0.3">
      <c r="A17" s="27" t="str">
        <v>Shampoo</v>
      </c>
      <c r="B17" s="18">
        <f>IFERROR(SUMIF(Dataset!K:K,A17,Dataset!L:L),0)</f>
        <v>31</v>
      </c>
      <c r="C17" s="18">
        <f>IFERROR(SUMIF(Dataset!K:K,A17,Dataset!O:O),0)</f>
        <v>15525.11</v>
      </c>
      <c r="D17" s="19">
        <f>IFERROR(SUMIF(Dataset!K:K,A17,Dataset!Q:Q),0)</f>
        <v>4556.0199999999995</v>
      </c>
      <c r="E17" s="18">
        <f>IFERROR(COUNTIF(Dataset!K:K,A17),0)</f>
        <v>9</v>
      </c>
      <c r="F17" s="26">
        <f>IFERROR(AVERAGEIF(Dataset!K:K,A17,Dataset!U:U),0)</f>
        <v>4.333333333333333</v>
      </c>
    </row>
    <row r="18" spans="1:6" x14ac:dyDescent="0.3">
      <c r="A18" s="27" t="str">
        <v>Skin Care Kit</v>
      </c>
      <c r="B18" s="18">
        <f>IFERROR(SUMIF(Dataset!K:K,A18,Dataset!L:L),0)</f>
        <v>19</v>
      </c>
      <c r="C18" s="18">
        <f>IFERROR(SUMIF(Dataset!K:K,A18,Dataset!O:O),0)</f>
        <v>21006.289999999997</v>
      </c>
      <c r="D18" s="19">
        <f>IFERROR(SUMIF(Dataset!K:K,A18,Dataset!Q:Q),0)</f>
        <v>5408.17</v>
      </c>
      <c r="E18" s="18">
        <f>IFERROR(COUNTIF(Dataset!K:K,A18),0)</f>
        <v>9</v>
      </c>
      <c r="F18" s="26">
        <f>IFERROR(AVERAGEIF(Dataset!K:K,A18,Dataset!U:U),0)</f>
        <v>4.7777777777777777</v>
      </c>
    </row>
    <row r="19" spans="1:6" x14ac:dyDescent="0.3">
      <c r="A19" s="27" t="str">
        <v>Smartphone</v>
      </c>
      <c r="B19" s="18">
        <f>IFERROR(SUMIF(Dataset!K:K,A19,Dataset!L:L),0)</f>
        <v>53</v>
      </c>
      <c r="C19" s="18">
        <f>IFERROR(SUMIF(Dataset!K:K,A19,Dataset!O:O),0)</f>
        <v>1517841.3199999998</v>
      </c>
      <c r="D19" s="19">
        <f>IFERROR(SUMIF(Dataset!K:K,A19,Dataset!Q:Q),0)</f>
        <v>410068.02999999991</v>
      </c>
      <c r="E19" s="18">
        <f>IFERROR(COUNTIF(Dataset!K:K,A19),0)</f>
        <v>18</v>
      </c>
      <c r="F19" s="26">
        <f>IFERROR(AVERAGEIF(Dataset!K:K,A19,Dataset!U:U),0)</f>
        <v>4.2777777777777777</v>
      </c>
    </row>
    <row r="20" spans="1:6" x14ac:dyDescent="0.3">
      <c r="A20" s="27" t="str">
        <v>Smartwatch</v>
      </c>
      <c r="B20" s="18">
        <f>IFERROR(SUMIF(Dataset!K:K,A20,Dataset!L:L),0)</f>
        <v>40</v>
      </c>
      <c r="C20" s="18">
        <f>IFERROR(SUMIF(Dataset!K:K,A20,Dataset!O:O),0)</f>
        <v>180663.73999999996</v>
      </c>
      <c r="D20" s="19">
        <f>IFERROR(SUMIF(Dataset!K:K,A20,Dataset!Q:Q),0)</f>
        <v>54067.62999999999</v>
      </c>
      <c r="E20" s="18">
        <f>IFERROR(COUNTIF(Dataset!K:K,A20),0)</f>
        <v>17</v>
      </c>
      <c r="F20" s="26">
        <f>IFERROR(AVERAGEIF(Dataset!K:K,A20,Dataset!U:U),0)</f>
        <v>4.2941176470588234</v>
      </c>
    </row>
    <row r="21" spans="1:6" x14ac:dyDescent="0.3">
      <c r="A21" s="27" t="str">
        <v>Sneakers</v>
      </c>
      <c r="B21" s="18">
        <f>IFERROR(SUMIF(Dataset!K:K,A21,Dataset!L:L),0)</f>
        <v>63</v>
      </c>
      <c r="C21" s="18">
        <f>IFERROR(SUMIF(Dataset!K:K,A21,Dataset!O:O),0)</f>
        <v>165940.65</v>
      </c>
      <c r="D21" s="19">
        <f>IFERROR(SUMIF(Dataset!K:K,A21,Dataset!Q:Q),0)</f>
        <v>49993.96</v>
      </c>
      <c r="E21" s="18">
        <f>IFERROR(COUNTIF(Dataset!K:K,A21),0)</f>
        <v>19</v>
      </c>
      <c r="F21" s="26">
        <f>IFERROR(AVERAGEIF(Dataset!K:K,A21,Dataset!U:U),0)</f>
        <v>4</v>
      </c>
    </row>
    <row r="22" spans="1:6" x14ac:dyDescent="0.3">
      <c r="A22" s="27" t="str">
        <v>Table Lamp</v>
      </c>
      <c r="B22" s="18">
        <f>IFERROR(SUMIF(Dataset!K:K,A22,Dataset!L:L),0)</f>
        <v>14</v>
      </c>
      <c r="C22" s="18">
        <f>IFERROR(SUMIF(Dataset!K:K,A22,Dataset!O:O),0)</f>
        <v>22308.26</v>
      </c>
      <c r="D22" s="19">
        <f>IFERROR(SUMIF(Dataset!K:K,A22,Dataset!Q:Q),0)</f>
        <v>6775.14</v>
      </c>
      <c r="E22" s="18">
        <f>IFERROR(COUNTIF(Dataset!K:K,A22),0)</f>
        <v>4</v>
      </c>
      <c r="F22" s="26">
        <f>IFERROR(AVERAGEIF(Dataset!K:K,A22,Dataset!U:U),0)</f>
        <v>4.5</v>
      </c>
    </row>
    <row r="23" spans="1:6" x14ac:dyDescent="0.3">
      <c r="A23" s="27" t="str">
        <v>T-Shirt</v>
      </c>
      <c r="B23" s="18">
        <f>IFERROR(SUMIF(Dataset!K:K,A23,Dataset!L:L),0)</f>
        <v>38</v>
      </c>
      <c r="C23" s="18">
        <f>IFERROR(SUMIF(Dataset!K:K,A23,Dataset!O:O),0)</f>
        <v>29705.329999999994</v>
      </c>
      <c r="D23" s="19">
        <f>IFERROR(SUMIF(Dataset!K:K,A23,Dataset!Q:Q),0)</f>
        <v>8519.4199999999983</v>
      </c>
      <c r="E23" s="18">
        <f>IFERROR(COUNTIF(Dataset!K:K,A23),0)</f>
        <v>11</v>
      </c>
      <c r="F23" s="26">
        <f>IFERROR(AVERAGEIF(Dataset!K:K,A23,Dataset!U:U),0)</f>
        <v>4.1818181818181817</v>
      </c>
    </row>
    <row r="24" spans="1:6" ht="15" thickBot="1" x14ac:dyDescent="0.35">
      <c r="A24" s="28" t="str">
        <v>Vacuum Cleaner</v>
      </c>
      <c r="B24" s="29">
        <f>IFERROR(SUMIF(Dataset!K:K,A24,Dataset!L:L),0)</f>
        <v>36</v>
      </c>
      <c r="C24" s="29">
        <f>IFERROR(SUMIF(Dataset!K:K,A24,Dataset!O:O),0)</f>
        <v>304830.06</v>
      </c>
      <c r="D24" s="30">
        <f>IFERROR(SUMIF(Dataset!K:K,A24,Dataset!Q:Q),0)</f>
        <v>75427.55</v>
      </c>
      <c r="E24" s="29">
        <f>IFERROR(COUNTIF(Dataset!K:K,A24),0)</f>
        <v>12</v>
      </c>
      <c r="F24" s="31">
        <f>IFERROR(AVERAGEIF(Dataset!K:K,A24,Dataset!U:U),0)</f>
        <v>4.666666666666667</v>
      </c>
    </row>
  </sheetData>
  <mergeCells count="1">
    <mergeCell ref="A1:F1"/>
  </mergeCells>
  <conditionalFormatting sqref="C5:C24">
    <cfRule type="colorScale" priority="3">
      <colorScale>
        <cfvo type="min"/>
        <cfvo type="max"/>
        <color rgb="FFFCFCFF"/>
        <color rgb="FF63BE7B"/>
      </colorScale>
    </cfRule>
  </conditionalFormatting>
  <conditionalFormatting sqref="D5:D24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5:F24">
    <cfRule type="colorScale" priority="2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61C43-57C8-4D78-B10C-0435C700150A}">
  <dimension ref="A1:F39"/>
  <sheetViews>
    <sheetView zoomScale="62" zoomScaleNormal="88" workbookViewId="0">
      <selection activeCell="F39" sqref="F39"/>
    </sheetView>
  </sheetViews>
  <sheetFormatPr defaultRowHeight="14.4" x14ac:dyDescent="0.3"/>
  <cols>
    <col min="1" max="1" width="18.44140625" bestFit="1" customWidth="1"/>
    <col min="2" max="3" width="14.88671875" bestFit="1" customWidth="1"/>
  </cols>
  <sheetData>
    <row r="1" spans="1:6" ht="31.2" x14ac:dyDescent="0.6">
      <c r="A1" s="46" t="s">
        <v>573</v>
      </c>
      <c r="B1" s="46"/>
      <c r="C1" s="46"/>
      <c r="D1" s="46"/>
      <c r="E1" s="46"/>
      <c r="F1" s="46"/>
    </row>
    <row r="4" spans="1:6" x14ac:dyDescent="0.3">
      <c r="A4" s="35" t="s">
        <v>569</v>
      </c>
      <c r="B4" t="s">
        <v>571</v>
      </c>
      <c r="C4" t="s">
        <v>572</v>
      </c>
    </row>
    <row r="5" spans="1:6" x14ac:dyDescent="0.3">
      <c r="A5" s="37" t="s">
        <v>484</v>
      </c>
      <c r="B5" s="38">
        <v>1906628.9000000001</v>
      </c>
      <c r="C5" s="38">
        <v>112</v>
      </c>
    </row>
    <row r="6" spans="1:6" x14ac:dyDescent="0.3">
      <c r="A6" s="36" t="s">
        <v>512</v>
      </c>
      <c r="B6">
        <v>63177.349999999991</v>
      </c>
      <c r="C6">
        <v>11</v>
      </c>
    </row>
    <row r="7" spans="1:6" x14ac:dyDescent="0.3">
      <c r="A7" s="36" t="s">
        <v>514</v>
      </c>
      <c r="B7">
        <v>4428.1899999999996</v>
      </c>
      <c r="C7">
        <v>3</v>
      </c>
    </row>
    <row r="8" spans="1:6" x14ac:dyDescent="0.3">
      <c r="A8" s="36" t="s">
        <v>509</v>
      </c>
      <c r="B8">
        <v>2651.6499999999996</v>
      </c>
      <c r="C8">
        <v>6</v>
      </c>
    </row>
    <row r="9" spans="1:6" x14ac:dyDescent="0.3">
      <c r="A9" s="36" t="s">
        <v>516</v>
      </c>
      <c r="B9">
        <v>814.64</v>
      </c>
      <c r="C9">
        <v>1</v>
      </c>
    </row>
    <row r="10" spans="1:6" x14ac:dyDescent="0.3">
      <c r="A10" s="36" t="s">
        <v>525</v>
      </c>
      <c r="B10">
        <v>2102.9</v>
      </c>
      <c r="C10">
        <v>5</v>
      </c>
    </row>
    <row r="11" spans="1:6" x14ac:dyDescent="0.3">
      <c r="A11" s="36" t="s">
        <v>517</v>
      </c>
      <c r="B11">
        <v>1141.6299999999999</v>
      </c>
      <c r="C11">
        <v>4</v>
      </c>
    </row>
    <row r="12" spans="1:6" x14ac:dyDescent="0.3">
      <c r="A12" s="36" t="s">
        <v>515</v>
      </c>
      <c r="B12">
        <v>3631.2</v>
      </c>
      <c r="C12">
        <v>2</v>
      </c>
    </row>
    <row r="13" spans="1:6" x14ac:dyDescent="0.3">
      <c r="A13" s="36" t="s">
        <v>518</v>
      </c>
      <c r="B13">
        <v>1197316.7</v>
      </c>
      <c r="C13">
        <v>23</v>
      </c>
    </row>
    <row r="14" spans="1:6" x14ac:dyDescent="0.3">
      <c r="A14" s="36" t="s">
        <v>508</v>
      </c>
      <c r="B14">
        <v>37097.520000000004</v>
      </c>
      <c r="C14">
        <v>12</v>
      </c>
    </row>
    <row r="15" spans="1:6" x14ac:dyDescent="0.3">
      <c r="A15" s="36" t="s">
        <v>524</v>
      </c>
      <c r="B15">
        <v>5003.6000000000004</v>
      </c>
      <c r="C15">
        <v>10</v>
      </c>
    </row>
    <row r="16" spans="1:6" x14ac:dyDescent="0.3">
      <c r="A16" s="36" t="s">
        <v>510</v>
      </c>
      <c r="B16">
        <v>507557.11</v>
      </c>
      <c r="C16">
        <v>17</v>
      </c>
    </row>
    <row r="17" spans="1:3" x14ac:dyDescent="0.3">
      <c r="A17" s="36" t="s">
        <v>522</v>
      </c>
      <c r="B17">
        <v>41335.170000000006</v>
      </c>
      <c r="C17">
        <v>9</v>
      </c>
    </row>
    <row r="18" spans="1:3" x14ac:dyDescent="0.3">
      <c r="A18" s="36" t="s">
        <v>513</v>
      </c>
      <c r="B18">
        <v>3819.68</v>
      </c>
      <c r="C18">
        <v>5</v>
      </c>
    </row>
    <row r="19" spans="1:3" x14ac:dyDescent="0.3">
      <c r="A19" s="36" t="s">
        <v>521</v>
      </c>
      <c r="B19">
        <v>36551.56</v>
      </c>
      <c r="C19">
        <v>4</v>
      </c>
    </row>
    <row r="20" spans="1:3" x14ac:dyDescent="0.3">
      <c r="A20" s="37" t="s">
        <v>483</v>
      </c>
      <c r="B20" s="38">
        <v>1732932.6</v>
      </c>
      <c r="C20" s="38">
        <v>180</v>
      </c>
    </row>
    <row r="21" spans="1:3" x14ac:dyDescent="0.3">
      <c r="A21" s="36" t="s">
        <v>512</v>
      </c>
      <c r="B21">
        <v>56070.11</v>
      </c>
      <c r="C21">
        <v>9</v>
      </c>
    </row>
    <row r="22" spans="1:3" x14ac:dyDescent="0.3">
      <c r="A22" s="36" t="s">
        <v>514</v>
      </c>
      <c r="B22">
        <v>13662.92</v>
      </c>
      <c r="C22">
        <v>10</v>
      </c>
    </row>
    <row r="23" spans="1:3" x14ac:dyDescent="0.3">
      <c r="A23" s="36" t="s">
        <v>509</v>
      </c>
      <c r="B23">
        <v>1189.1099999999999</v>
      </c>
      <c r="C23">
        <v>3</v>
      </c>
    </row>
    <row r="24" spans="1:3" x14ac:dyDescent="0.3">
      <c r="A24" s="36" t="s">
        <v>516</v>
      </c>
      <c r="B24">
        <v>12722.02</v>
      </c>
      <c r="C24">
        <v>15</v>
      </c>
    </row>
    <row r="25" spans="1:3" x14ac:dyDescent="0.3">
      <c r="A25" s="36" t="s">
        <v>525</v>
      </c>
      <c r="B25">
        <v>3283.21</v>
      </c>
      <c r="C25">
        <v>8</v>
      </c>
    </row>
    <row r="26" spans="1:3" x14ac:dyDescent="0.3">
      <c r="A26" s="36" t="s">
        <v>517</v>
      </c>
      <c r="B26">
        <v>1605.87</v>
      </c>
      <c r="C26">
        <v>6</v>
      </c>
    </row>
    <row r="27" spans="1:3" x14ac:dyDescent="0.3">
      <c r="A27" s="36" t="s">
        <v>520</v>
      </c>
      <c r="B27">
        <v>21816.32</v>
      </c>
      <c r="C27">
        <v>9</v>
      </c>
    </row>
    <row r="28" spans="1:3" x14ac:dyDescent="0.3">
      <c r="A28" s="36" t="s">
        <v>515</v>
      </c>
      <c r="B28">
        <v>23336.799999999999</v>
      </c>
      <c r="C28">
        <v>14</v>
      </c>
    </row>
    <row r="29" spans="1:3" x14ac:dyDescent="0.3">
      <c r="A29" s="36" t="s">
        <v>518</v>
      </c>
      <c r="B29">
        <v>1067668.8500000001</v>
      </c>
      <c r="C29">
        <v>21</v>
      </c>
    </row>
    <row r="30" spans="1:3" x14ac:dyDescent="0.3">
      <c r="A30" s="36" t="s">
        <v>511</v>
      </c>
      <c r="B30">
        <v>1150.78</v>
      </c>
      <c r="C30">
        <v>5</v>
      </c>
    </row>
    <row r="31" spans="1:3" x14ac:dyDescent="0.3">
      <c r="A31" s="36" t="s">
        <v>524</v>
      </c>
      <c r="B31">
        <v>2783.84</v>
      </c>
      <c r="C31">
        <v>5</v>
      </c>
    </row>
    <row r="32" spans="1:3" x14ac:dyDescent="0.3">
      <c r="A32" s="36" t="s">
        <v>519</v>
      </c>
      <c r="B32">
        <v>3078.09</v>
      </c>
      <c r="C32">
        <v>3</v>
      </c>
    </row>
    <row r="33" spans="1:3" x14ac:dyDescent="0.3">
      <c r="A33" s="36" t="s">
        <v>510</v>
      </c>
      <c r="B33">
        <v>312514.72000000003</v>
      </c>
      <c r="C33">
        <v>12</v>
      </c>
    </row>
    <row r="34" spans="1:3" x14ac:dyDescent="0.3">
      <c r="A34" s="36" t="s">
        <v>522</v>
      </c>
      <c r="B34">
        <v>90393.64</v>
      </c>
      <c r="C34">
        <v>20</v>
      </c>
    </row>
    <row r="35" spans="1:3" x14ac:dyDescent="0.3">
      <c r="A35" s="36" t="s">
        <v>507</v>
      </c>
      <c r="B35">
        <v>52754.909999999996</v>
      </c>
      <c r="C35">
        <v>20</v>
      </c>
    </row>
    <row r="36" spans="1:3" x14ac:dyDescent="0.3">
      <c r="A36" s="36" t="s">
        <v>523</v>
      </c>
      <c r="B36">
        <v>6687.26</v>
      </c>
      <c r="C36">
        <v>4</v>
      </c>
    </row>
    <row r="37" spans="1:3" x14ac:dyDescent="0.3">
      <c r="A37" s="36" t="s">
        <v>513</v>
      </c>
      <c r="B37">
        <v>6847.5599999999995</v>
      </c>
      <c r="C37">
        <v>9</v>
      </c>
    </row>
    <row r="38" spans="1:3" x14ac:dyDescent="0.3">
      <c r="A38" s="36" t="s">
        <v>521</v>
      </c>
      <c r="B38">
        <v>55366.59</v>
      </c>
      <c r="C38">
        <v>7</v>
      </c>
    </row>
    <row r="39" spans="1:3" x14ac:dyDescent="0.3">
      <c r="A39" s="41" t="s">
        <v>570</v>
      </c>
      <c r="B39" s="42">
        <v>3639561.5</v>
      </c>
      <c r="C39" s="42">
        <v>292</v>
      </c>
    </row>
  </sheetData>
  <mergeCells count="1">
    <mergeCell ref="A1:F1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52064-997A-467C-AFEF-B06D4BC4E000}">
  <dimension ref="A1"/>
  <sheetViews>
    <sheetView tabSelected="1" zoomScale="45" zoomScaleNormal="100" workbookViewId="0">
      <selection activeCell="AE42" sqref="AE42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Dataset</vt:lpstr>
      <vt:lpstr>KPI</vt:lpstr>
      <vt:lpstr>HIGH-VALUE CUSTOMERS</vt:lpstr>
      <vt:lpstr>ANALYSIS</vt:lpstr>
      <vt:lpstr>PIVOT TABLE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krinaghori2009@hotmail.com</cp:lastModifiedBy>
  <dcterms:created xsi:type="dcterms:W3CDTF">2026-09-14T12:42:36Z</dcterms:created>
  <dcterms:modified xsi:type="dcterms:W3CDTF">2026-09-19T04:57:35Z</dcterms:modified>
</cp:coreProperties>
</file>